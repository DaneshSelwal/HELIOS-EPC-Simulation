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EVM_Dashboard" sheetId="1" state="visible" r:id="rId2"/>
    <sheet name="Baseline_S_Curve_18M" sheetId="2" state="visible" r:id="rId3"/>
    <sheet name="Master_Document_Register" sheetId="3" state="visible" r:id="rId4"/>
    <sheet name="Procurement_MIRN_Tracker" sheetId="4" state="visible" r:id="rId5"/>
    <sheet name="Quality_ITP_and_HSE_PTW" sheetId="5" state="visible" r:id="rId6"/>
    <sheet name="FIDIC_Commercial_Claims" sheetId="6" state="visible" r:id="rId7"/>
    <sheet name="Coded_Mail_Channel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<sst xmlns="http://schemas.openxmlformats.org/spreadsheetml/2006/main" count="969" uniqueCount="705">
  <si>
    <t xml:space="preserve">HELIOS 100MW SOLAR PV + 33/220kV GSS — EXECUTIVE EVM &amp; WORK PACKAGE CONTROL DASHBOARD</t>
  </si>
  <si>
    <t xml:space="preserve">Contract: FIDIC Yellow Book 1999 | Location: Bukhara, Uzbekistan | Simulation Clock: Day 001 (2026-10-06 — LNTP Start Position) | Source: state/baseline.json</t>
  </si>
  <si>
    <t xml:space="preserve">CONTRACT PRICE (BAC)</t>
  </si>
  <si>
    <t xml:space="preserve">SIMULATION CLOCK</t>
  </si>
  <si>
    <t xml:space="preserve">PLANNED VALUE (BCWS)</t>
  </si>
  <si>
    <t xml:space="preserve">EARNED VALUE (BCWP)</t>
  </si>
  <si>
    <t xml:space="preserve">ACTUAL COST (ACWP)</t>
  </si>
  <si>
    <t xml:space="preserve">SCHEDULE INDEX (SPI)</t>
  </si>
  <si>
    <t xml:space="preserve">COST INDEX (CPI)</t>
  </si>
  <si>
    <t xml:space="preserve">Day 001 (LNTP)</t>
  </si>
  <si>
    <t xml:space="preserve">Fixed Lump Sum (FIDIC Yellow Book)</t>
  </si>
  <si>
    <t xml:space="preserve">Date: 2026-10-06 (M1 / W1 / D1)</t>
  </si>
  <si>
    <t xml:space="preserve">Day 001 Baseline S-Curve Target</t>
  </si>
  <si>
    <t xml:space="preserve">QC-Accepted Progress Earned</t>
  </si>
  <si>
    <t xml:space="preserve">Certified Cost Incurred</t>
  </si>
  <si>
    <t xml:space="preserve">Target &gt;= 0.95 (Green)</t>
  </si>
  <si>
    <t xml:space="preserve">WP ID</t>
  </si>
  <si>
    <t xml:space="preserve">Work Package Description</t>
  </si>
  <si>
    <t xml:space="preserve">Discipline</t>
  </si>
  <si>
    <t xml:space="preserve">Owner Agent</t>
  </si>
  <si>
    <t xml:space="preserve">Unit</t>
  </si>
  <si>
    <t xml:space="preserve">Budget BAC ($)</t>
  </si>
  <si>
    <t xml:space="preserve">Scope Qty</t>
  </si>
  <si>
    <t xml:space="preserve">Day 1 BCWS ($)</t>
  </si>
  <si>
    <t xml:space="preserve">Installed Qty</t>
  </si>
  <si>
    <t xml:space="preserve">QC Accepted Qty</t>
  </si>
  <si>
    <t xml:space="preserve">Earned BCWP ($) [Auto]</t>
  </si>
  <si>
    <t xml:space="preserve">Actual ACWP ($)</t>
  </si>
  <si>
    <t xml:space="preserve">Cost Var CV ($) [Auto]</t>
  </si>
  <si>
    <t xml:space="preserve">Status</t>
  </si>
  <si>
    <t xml:space="preserve">WP-ENG-CIV</t>
  </si>
  <si>
    <t xml:space="preserve">Civil, Geotechnical &amp; Site Drainage Design</t>
  </si>
  <si>
    <t xml:space="preserve">Engineering</t>
  </si>
  <si>
    <t xml:space="preserve">TERRA</t>
  </si>
  <si>
    <t xml:space="preserve">%</t>
  </si>
  <si>
    <t xml:space="preserve">ACTIVE</t>
  </si>
  <si>
    <t xml:space="preserve">WP-ENG-ELE</t>
  </si>
  <si>
    <t xml:space="preserve">Electrical &amp; Grid Interconnection Design</t>
  </si>
  <si>
    <t xml:space="preserve">AMPERE</t>
  </si>
  <si>
    <t xml:space="preserve">WP-ENG-MEC</t>
  </si>
  <si>
    <t xml:space="preserve">Mechanical &amp; Tracker Structural Design</t>
  </si>
  <si>
    <t xml:space="preserve">SOLARIS</t>
  </si>
  <si>
    <t xml:space="preserve">WP-ENG-SUB</t>
  </si>
  <si>
    <t xml:space="preserve">220kV Substation &amp; Protection Design</t>
  </si>
  <si>
    <t xml:space="preserve">VOLTA</t>
  </si>
  <si>
    <t xml:space="preserve">WP-PROC-PIL</t>
  </si>
  <si>
    <t xml:space="preserve">Foundation Ramming Piles Supply (15,400 pcs)</t>
  </si>
  <si>
    <t xml:space="preserve">Procurement</t>
  </si>
  <si>
    <t xml:space="preserve">DEPOT</t>
  </si>
  <si>
    <t xml:space="preserve">piles</t>
  </si>
  <si>
    <t xml:space="preserve">RFQ PREP</t>
  </si>
  <si>
    <t xml:space="preserve">WP-PROC-TRK</t>
  </si>
  <si>
    <t xml:space="preserve">Single-Axis Trackers &amp; Steel Structures</t>
  </si>
  <si>
    <t xml:space="preserve">FORGE</t>
  </si>
  <si>
    <t xml:space="preserve">tables</t>
  </si>
  <si>
    <t xml:space="preserve">WP-PROC-MOD</t>
  </si>
  <si>
    <t xml:space="preserve">100MW Bifacial Solar PV Modules (580W TOPCon)</t>
  </si>
  <si>
    <t xml:space="preserve">modules</t>
  </si>
  <si>
    <t xml:space="preserve">WP-PROC-INV</t>
  </si>
  <si>
    <t xml:space="preserve">Central Inverters &amp; MV Skids (25 x 4.0MVA)</t>
  </si>
  <si>
    <t xml:space="preserve">skids</t>
  </si>
  <si>
    <t xml:space="preserve">SPEC ALIGN</t>
  </si>
  <si>
    <t xml:space="preserve">WP-PROC-TRA</t>
  </si>
  <si>
    <t xml:space="preserve">220kV/33kV 100MVA Main Power Transformer</t>
  </si>
  <si>
    <t xml:space="preserve">units</t>
  </si>
  <si>
    <t xml:space="preserve">CRITICAL RFQ</t>
  </si>
  <si>
    <t xml:space="preserve">WP-PROC-GIS</t>
  </si>
  <si>
    <t xml:space="preserve">220kV GIS Switchgear &amp; Primary Equipment</t>
  </si>
  <si>
    <t xml:space="preserve">sets</t>
  </si>
  <si>
    <t xml:space="preserve">WP-PROC-CAB-DC</t>
  </si>
  <si>
    <t xml:space="preserve">1.5kV DC Solar Cables &amp; String Harnesses</t>
  </si>
  <si>
    <t xml:space="preserve">meters</t>
  </si>
  <si>
    <t xml:space="preserve">MTO PREP</t>
  </si>
  <si>
    <t xml:space="preserve">WP-PROC-CAB-MV</t>
  </si>
  <si>
    <t xml:space="preserve">33kV MV Underground Cables &amp; Joint Kits</t>
  </si>
  <si>
    <t xml:space="preserve">WP-PROC-BOP</t>
  </si>
  <si>
    <t xml:space="preserve">Substation &amp; Plant Balance of Plant Materials</t>
  </si>
  <si>
    <t xml:space="preserve">WP-CON-MOB</t>
  </si>
  <si>
    <t xml:space="preserve">Site Mobilization, Security &amp; Temp Facilities</t>
  </si>
  <si>
    <t xml:space="preserve">Construction</t>
  </si>
  <si>
    <t xml:space="preserve">BASTION</t>
  </si>
  <si>
    <t xml:space="preserve">WP-CON-CIV-GRD</t>
  </si>
  <si>
    <t xml:space="preserve">Site Clearing, Bulk Earthworks &amp; Access Roads</t>
  </si>
  <si>
    <t xml:space="preserve">PLANNED M2</t>
  </si>
  <si>
    <t xml:space="preserve">WP-CON-CIV-PIL</t>
  </si>
  <si>
    <t xml:space="preserve">PV Field Pile Ramming (Blocks 1-6)</t>
  </si>
  <si>
    <t xml:space="preserve">PLANNED M4</t>
  </si>
  <si>
    <t xml:space="preserve">WP-CON-MEC-TRK</t>
  </si>
  <si>
    <t xml:space="preserve">Single-Axis Tracker Assembly &amp; Erection</t>
  </si>
  <si>
    <t xml:space="preserve">STRATUM</t>
  </si>
  <si>
    <t xml:space="preserve">PLANNED M5</t>
  </si>
  <si>
    <t xml:space="preserve">WP-CON-MEC-MOD</t>
  </si>
  <si>
    <t xml:space="preserve">PV Module Mounting &amp; Fastening</t>
  </si>
  <si>
    <t xml:space="preserve">PLANNED M6</t>
  </si>
  <si>
    <t xml:space="preserve">WP-CON-ELE-DC</t>
  </si>
  <si>
    <t xml:space="preserve">DC Cable Trenching &amp; String Cabling</t>
  </si>
  <si>
    <t xml:space="preserve">CONDUIT</t>
  </si>
  <si>
    <t xml:space="preserve">WP-CON-ELE-MV</t>
  </si>
  <si>
    <t xml:space="preserve">33kV MV Trenching, Laying &amp; Termination</t>
  </si>
  <si>
    <t xml:space="preserve">ARCLINE</t>
  </si>
  <si>
    <t xml:space="preserve">PLANNED M7</t>
  </si>
  <si>
    <t xml:space="preserve">WP-CON-CIV-FND</t>
  </si>
  <si>
    <t xml:space="preserve">Inverter &amp; Substation Concrete Foundations</t>
  </si>
  <si>
    <t xml:space="preserve">FORTRESS</t>
  </si>
  <si>
    <t xml:space="preserve">m3</t>
  </si>
  <si>
    <t xml:space="preserve">PLANNED M3</t>
  </si>
  <si>
    <t xml:space="preserve">WP-CON-SUB-ERE</t>
  </si>
  <si>
    <t xml:space="preserve">220kV GSS Substation Erection &amp; HV Line</t>
  </si>
  <si>
    <t xml:space="preserve">SWITCHMAN</t>
  </si>
  <si>
    <t xml:space="preserve">PLANNED M10</t>
  </si>
  <si>
    <t xml:space="preserve">WP-TNC-ALL</t>
  </si>
  <si>
    <t xml:space="preserve">Cold/Hot Commissioning, 220kV Sync &amp; PR Test</t>
  </si>
  <si>
    <t xml:space="preserve">T&amp;C</t>
  </si>
  <si>
    <t xml:space="preserve">IGNITE</t>
  </si>
  <si>
    <t xml:space="preserve">PLANNED M15</t>
  </si>
  <si>
    <t xml:space="preserve">TOTAL</t>
  </si>
  <si>
    <t xml:space="preserve">Consolidated HELIOS 100MW EPC Portfolio</t>
  </si>
  <si>
    <t xml:space="preserve">All</t>
  </si>
  <si>
    <t xml:space="preserve">ATLAS</t>
  </si>
  <si>
    <t xml:space="preserve">USD</t>
  </si>
  <si>
    <t xml:space="preserve">ON TRACK</t>
  </si>
  <si>
    <t xml:space="preserve">Contract Weight</t>
  </si>
  <si>
    <t xml:space="preserve">Baseline Budget ($)</t>
  </si>
  <si>
    <t xml:space="preserve">Day 1 Earned BCWP ($)</t>
  </si>
  <si>
    <t xml:space="preserve">Day 1 Actual ACWP ($)</t>
  </si>
  <si>
    <t xml:space="preserve">HELIOS EPC — 18-MONTH (504-DAY) REV 0 BASELINE S-CURVE &amp; MILESTONE SCHEDULE</t>
  </si>
  <si>
    <t xml:space="preserve">28-Day Simulation Months | Total Contract Price (BAC): USD 85,000,000 | Critical Path: 220kV GSS &amp; 100MVA MPT (0 Days Float)</t>
  </si>
  <si>
    <t xml:space="preserve">Sim Month</t>
  </si>
  <si>
    <t xml:space="preserve">Sim Day End</t>
  </si>
  <si>
    <t xml:space="preserve">Calendar Date</t>
  </si>
  <si>
    <t xml:space="preserve">Key Milestone Gate</t>
  </si>
  <si>
    <t xml:space="preserve">Monthly Planned Spend ($)</t>
  </si>
  <si>
    <t xml:space="preserve">Cumulative BCWS ($) [Auto]</t>
  </si>
  <si>
    <t xml:space="preserve">Cumulative Plan % [Auto]</t>
  </si>
  <si>
    <t xml:space="preserve">Primary Active Workfronts</t>
  </si>
  <si>
    <t xml:space="preserve">Critical Path Status</t>
  </si>
  <si>
    <t xml:space="preserve">M01</t>
  </si>
  <si>
    <t xml:space="preserve">2026-11-02</t>
  </si>
  <si>
    <t xml:space="preserve">HEL.00 LNTP &amp; MPT PO Award (Day 12)</t>
  </si>
  <si>
    <t xml:space="preserve">Basic Design, Geotech, Site Camp &amp; Fencing</t>
  </si>
  <si>
    <t xml:space="preserve">CRITICAL (MPT PO)</t>
  </si>
  <si>
    <t xml:space="preserve">M02</t>
  </si>
  <si>
    <t xml:space="preserve">2026-11-30</t>
  </si>
  <si>
    <t xml:space="preserve">HEL.20 Site Mobilization Complete</t>
  </si>
  <si>
    <t xml:space="preserve">Detailed Design, Mass Grading &amp; GIS PO</t>
  </si>
  <si>
    <t xml:space="preserve">CRITICAL (GSS Eng)</t>
  </si>
  <si>
    <t xml:space="preserve">M03</t>
  </si>
  <si>
    <t xml:space="preserve">2026-12-28</t>
  </si>
  <si>
    <t xml:space="preserve">HEL.30 Engineering Freeze &amp; Module PO</t>
  </si>
  <si>
    <t xml:space="preserve">IFC Release, Inverter Pads &amp; Module/Tracker POs</t>
  </si>
  <si>
    <t xml:space="preserve">CRITICAL (MPT Mfg)</t>
  </si>
  <si>
    <t xml:space="preserve">M04</t>
  </si>
  <si>
    <t xml:space="preserve">2027-01-25</t>
  </si>
  <si>
    <t xml:space="preserve">HEL.20.CIV First Pile Driven</t>
  </si>
  <si>
    <t xml:space="preserve">PV Field Piling Campaign (Blocks 1-5) &amp; GSS Civil</t>
  </si>
  <si>
    <t xml:space="preserve">M05</t>
  </si>
  <si>
    <t xml:space="preserve">2027-02-22</t>
  </si>
  <si>
    <t xml:space="preserve">Tracker Steel Delivery &amp; Piling Peak</t>
  </si>
  <si>
    <t xml:space="preserve">Piling Blocks 1-6, Tracker Bearings &amp; Plinths</t>
  </si>
  <si>
    <t xml:space="preserve">M06</t>
  </si>
  <si>
    <t xml:space="preserve">2027-03-22</t>
  </si>
  <si>
    <t xml:space="preserve">HEL.SCM.MOD First Module Delivered</t>
  </si>
  <si>
    <t xml:space="preserve">First 580W TOPCon Modules On-Site &amp; Tracker Erection</t>
  </si>
  <si>
    <t xml:space="preserve">NEAR-CRITICAL (Mods)</t>
  </si>
  <si>
    <t xml:space="preserve">M07</t>
  </si>
  <si>
    <t xml:space="preserve">2027-04-19</t>
  </si>
  <si>
    <t xml:space="preserve">PCS Skids Delivered &amp; MV Trenching</t>
  </si>
  <si>
    <t xml:space="preserve">Module Mounting, 33kV MV Cable Laying &amp; PCS Setting</t>
  </si>
  <si>
    <t xml:space="preserve">CRITICAL (MPT FAT)</t>
  </si>
  <si>
    <t xml:space="preserve">M08</t>
  </si>
  <si>
    <t xml:space="preserve">2027-05-17</t>
  </si>
  <si>
    <t xml:space="preserve">50% PV Field Module Mounting</t>
  </si>
  <si>
    <t xml:space="preserve">Peak Module &amp; DC Harness Installation</t>
  </si>
  <si>
    <t xml:space="preserve">CRITICAL (MPT Ship)</t>
  </si>
  <si>
    <t xml:space="preserve">M09</t>
  </si>
  <si>
    <t xml:space="preserve">2027-06-14</t>
  </si>
  <si>
    <t xml:space="preserve">220kV MPT Khorgos Border Transit</t>
  </si>
  <si>
    <t xml:space="preserve">Khorgos Customs Clearance &amp; Heavy-Haul to Bukhara</t>
  </si>
  <si>
    <t xml:space="preserve">CRITICAL (Khorgos)</t>
  </si>
  <si>
    <t xml:space="preserve">M10</t>
  </si>
  <si>
    <t xml:space="preserve">2027-07-12</t>
  </si>
  <si>
    <t xml:space="preserve">220kV MPT &amp; GIS Site Arrival</t>
  </si>
  <si>
    <t xml:space="preserve">MPT Plinth Skidding, GIS Clean-Room Erection</t>
  </si>
  <si>
    <t xml:space="preserve">CRITICAL (GSS E&amp;M)</t>
  </si>
  <si>
    <t xml:space="preserve">M11</t>
  </si>
  <si>
    <t xml:space="preserve">2027-08-09</t>
  </si>
  <si>
    <t xml:space="preserve">75% PV Array &amp; DC/MV Cabling</t>
  </si>
  <si>
    <t xml:space="preserve">Substation Busbar, Protection Panels &amp; SCADA Fiber</t>
  </si>
  <si>
    <t xml:space="preserve">M12</t>
  </si>
  <si>
    <t xml:space="preserve">2027-09-06</t>
  </si>
  <si>
    <t xml:space="preserve">Civil Completion &amp; All Modules On-Site</t>
  </si>
  <si>
    <t xml:space="preserve">Final Module Strings, Transformer Oil Filling &amp; SFRA</t>
  </si>
  <si>
    <t xml:space="preserve">CRITICAL (MPT Test)</t>
  </si>
  <si>
    <t xml:space="preserve">M13</t>
  </si>
  <si>
    <t xml:space="preserve">2027-10-04</t>
  </si>
  <si>
    <t xml:space="preserve">Pre-Commissioning &amp; Cold Testing Start</t>
  </si>
  <si>
    <t xml:space="preserve">IEC 62446 String Voc/Isc/IR &amp; BESS Reserve Grading</t>
  </si>
  <si>
    <t xml:space="preserve">CRITICAL (Relay Test)</t>
  </si>
  <si>
    <t xml:space="preserve">M14</t>
  </si>
  <si>
    <t xml:space="preserve">2027-11-01</t>
  </si>
  <si>
    <t xml:space="preserve">220kV Protection &amp; Relay Injection</t>
  </si>
  <si>
    <t xml:space="preserve">Secondary Injection, UzbekEnergo Settings Approval</t>
  </si>
  <si>
    <t xml:space="preserve">CRITICAL (Grid Code)</t>
  </si>
  <si>
    <t xml:space="preserve">M15</t>
  </si>
  <si>
    <t xml:space="preserve">2027-11-29</t>
  </si>
  <si>
    <t xml:space="preserve">HEL.15 Mechanical Completion (100%)</t>
  </si>
  <si>
    <t xml:space="preserve">MC Walkdowns, IV Curve / EL Audits &amp; Snag Closure</t>
  </si>
  <si>
    <t xml:space="preserve">CRITICAL (MC Gate)</t>
  </si>
  <si>
    <t xml:space="preserve">M16</t>
  </si>
  <si>
    <t xml:space="preserve">2027-12-27</t>
  </si>
  <si>
    <t xml:space="preserve">HEL.TNC.ENG First Back-Feed Energisation</t>
  </si>
  <si>
    <t xml:space="preserve">Uzenergoinspeksiya Act &amp; 220kV GSS Back-Feed</t>
  </si>
  <si>
    <t xml:space="preserve">CRITICAL (Grid Sync)</t>
  </si>
  <si>
    <t xml:space="preserve">M17</t>
  </si>
  <si>
    <t xml:space="preserve">2028-01-24</t>
  </si>
  <si>
    <t xml:space="preserve">Hot Commissioning &amp; 7-Day PR Test</t>
  </si>
  <si>
    <t xml:space="preserve">Inverter Sync, PPC PFR Test &amp; IEC 61724 PR &gt;= 80%</t>
  </si>
  <si>
    <t xml:space="preserve">CRITICAL (PR Test)</t>
  </si>
  <si>
    <t xml:space="preserve">M18</t>
  </si>
  <si>
    <t xml:space="preserve">2028-02-21</t>
  </si>
  <si>
    <t xml:space="preserve">HEL.10 Grid Sync / COD / PAC Handover</t>
  </si>
  <si>
    <t xml:space="preserve">Provisional Acceptance Certificate (PAC) &amp; Commercial Ops</t>
  </si>
  <si>
    <t xml:space="preserve">COD MILESTONE</t>
  </si>
  <si>
    <t xml:space="preserve">18 Months</t>
  </si>
  <si>
    <t xml:space="preserve">Full Lifecycle Baseline</t>
  </si>
  <si>
    <t xml:space="preserve">100MW Solar PV + 33/220kV GSS Complete</t>
  </si>
  <si>
    <t xml:space="preserve">100% BAC</t>
  </si>
  <si>
    <t xml:space="preserve">HELIOS EPC — MASTER DOCUMENT &amp; DRAWING REGISTER (MDR) — START POSITION (DAY 001)</t>
  </si>
  <si>
    <t xml:space="preserve">Custodians: HERALD (Document Controller, PM-03) &amp; ARCHON (Design Manager, EN-01) | FIDIC Sub-Clause 5.2 Review Period: 14 Calendar Days</t>
  </si>
  <si>
    <t xml:space="preserve">Doc Number</t>
  </si>
  <si>
    <t xml:space="preserve">Document / Drawing Title</t>
  </si>
  <si>
    <t xml:space="preserve">Rev</t>
  </si>
  <si>
    <t xml:space="preserve">Transmittal Ref</t>
  </si>
  <si>
    <t xml:space="preserve">Sim Day Submitted</t>
  </si>
  <si>
    <t xml:space="preserve">14d Review Due Day [Auto]</t>
  </si>
  <si>
    <t xml:space="preserve">Primary Reviewers</t>
  </si>
  <si>
    <t xml:space="preserve">Review Status Code</t>
  </si>
  <si>
    <t xml:space="preserve">IFC Released?</t>
  </si>
  <si>
    <t xml:space="preserve">Linked Work Package</t>
  </si>
  <si>
    <t xml:space="preserve">HEL-PM-PLN-0001</t>
  </si>
  <si>
    <t xml:space="preserve">Project Execution Plan (PEP) &amp; PMO Governance Charter</t>
  </si>
  <si>
    <t xml:space="preserve">PMO</t>
  </si>
  <si>
    <t xml:space="preserve">Rev 0</t>
  </si>
  <si>
    <t xml:space="preserve">TRN-HEL-0001</t>
  </si>
  <si>
    <t xml:space="preserve">PATRON, AUDITOR</t>
  </si>
  <si>
    <t xml:space="preserve">Code 1: Approved</t>
  </si>
  <si>
    <t xml:space="preserve">YES</t>
  </si>
  <si>
    <t xml:space="preserve">HEL-PL-SCH-0001</t>
  </si>
  <si>
    <t xml:space="preserve">Master EPC Baseline Schedule (L1-L3 P6 CPM) &amp; S-Curve</t>
  </si>
  <si>
    <t xml:space="preserve">PLN</t>
  </si>
  <si>
    <t xml:space="preserve">KRONOS</t>
  </si>
  <si>
    <t xml:space="preserve">TRN-HEL-0002</t>
  </si>
  <si>
    <t xml:space="preserve">ALL WPs</t>
  </si>
  <si>
    <t xml:space="preserve">HEL-HS-PLN-0001</t>
  </si>
  <si>
    <t xml:space="preserve">Construction HSE Plan &amp; SanPiN Extreme Weather Protocol</t>
  </si>
  <si>
    <t xml:space="preserve">EHS</t>
  </si>
  <si>
    <t xml:space="preserve">AEGIS</t>
  </si>
  <si>
    <t xml:space="preserve">TRN-HEL-0003</t>
  </si>
  <si>
    <t xml:space="preserve">PATRON, AUDITOR, INSPECTOR</t>
  </si>
  <si>
    <t xml:space="preserve">HEL-QA-PLN-0001</t>
  </si>
  <si>
    <t xml:space="preserve">Project Quality Plan (PQP) &amp; Master ITP Schedule</t>
  </si>
  <si>
    <t xml:space="preserve">QAQ</t>
  </si>
  <si>
    <t xml:space="preserve">SENTINEL</t>
  </si>
  <si>
    <t xml:space="preserve">TRN-HEL-0004</t>
  </si>
  <si>
    <t xml:space="preserve">HEL-CV-GEO-0001</t>
  </si>
  <si>
    <t xml:space="preserve">Site-Wide Geotechnical Investigation Report (Blocks 1-6)</t>
  </si>
  <si>
    <t xml:space="preserve">ENG-CIV</t>
  </si>
  <si>
    <t xml:space="preserve">MERIDIAN</t>
  </si>
  <si>
    <t xml:space="preserve">Rev A</t>
  </si>
  <si>
    <t xml:space="preserve">TRN-HEL-0005</t>
  </si>
  <si>
    <t xml:space="preserve">TERRA, AUDITOR</t>
  </si>
  <si>
    <t xml:space="preserve">Pending Review</t>
  </si>
  <si>
    <t xml:space="preserve">NO</t>
  </si>
  <si>
    <t xml:space="preserve">HEL-ST-CAL-0010</t>
  </si>
  <si>
    <t xml:space="preserve">Driven Steel Pile Foundation Structural Calculations</t>
  </si>
  <si>
    <t xml:space="preserve">TRN-HEL-0006</t>
  </si>
  <si>
    <t xml:space="preserve">ARCHON, AUDITOR, INSPECTOR</t>
  </si>
  <si>
    <t xml:space="preserve">HEL-MC-LAY-0100</t>
  </si>
  <si>
    <t xml:space="preserve">1P Single-Axis Tracker Array General Layout &amp; Loads</t>
  </si>
  <si>
    <t xml:space="preserve">ENG-MEC</t>
  </si>
  <si>
    <t xml:space="preserve">TRN-HEL-0007</t>
  </si>
  <si>
    <t xml:space="preserve">HEL-EL-SLD-0100</t>
  </si>
  <si>
    <t xml:space="preserve">1500V DC Array &amp; 33kV MV Collector System SLD</t>
  </si>
  <si>
    <t xml:space="preserve">ENG-ELE</t>
  </si>
  <si>
    <t xml:space="preserve">TRN-HEL-0008</t>
  </si>
  <si>
    <t xml:space="preserve">VOLTA, AUDITOR</t>
  </si>
  <si>
    <t xml:space="preserve">HEL-HV-SLD-0101</t>
  </si>
  <si>
    <t xml:space="preserve">33/220kV Grid Substation (GSS) Master Single Line Diagram</t>
  </si>
  <si>
    <t xml:space="preserve">ENG-SUB</t>
  </si>
  <si>
    <t xml:space="preserve">TRN-HEL-0009</t>
  </si>
  <si>
    <t xml:space="preserve">GRIDMASTER, AUDITOR</t>
  </si>
  <si>
    <t xml:space="preserve">HEL-PR-PHL-0200</t>
  </si>
  <si>
    <t xml:space="preserve">33/220kV GSS Protection, Control &amp; Metering Philosophy</t>
  </si>
  <si>
    <t xml:space="preserve">ENG-PRO</t>
  </si>
  <si>
    <t xml:space="preserve">CIPHER</t>
  </si>
  <si>
    <t xml:space="preserve">TRN-HEL-0010</t>
  </si>
  <si>
    <t xml:space="preserve">HEL-SC-PLN-0001</t>
  </si>
  <si>
    <t xml:space="preserve">Master Procurement Plan, AVL &amp; Two-Envelope Bidding SOP</t>
  </si>
  <si>
    <t xml:space="preserve">SCM</t>
  </si>
  <si>
    <t xml:space="preserve">CONVOY</t>
  </si>
  <si>
    <t xml:space="preserve">TRN-HEL-0011</t>
  </si>
  <si>
    <t xml:space="preserve">ATLAS, PATRON</t>
  </si>
  <si>
    <t xml:space="preserve">HEL-CM-ins-0001</t>
  </si>
  <si>
    <t xml:space="preserve">Performance Security (10%), APBG &amp; CAR/Marine Insurance Dossier</t>
  </si>
  <si>
    <t xml:space="preserve">COM</t>
  </si>
  <si>
    <t xml:space="preserve">LEDGE</t>
  </si>
  <si>
    <t xml:space="preserve">TRN-HEL-0012</t>
  </si>
  <si>
    <t xml:space="preserve">COUNSEL, PATRON</t>
  </si>
  <si>
    <t xml:space="preserve">HELIOS EPC — MASTER PROCUREMENT, KHORGOS LOGISTICS &amp; SITE STORES (MIRN) TRACKER</t>
  </si>
  <si>
    <t xml:space="preserve">Owners: CONVOY (SCM Mgr), FORGE (Long-Lead), DEPOT (BOP), TRACER (Expediter), ROUTE (Customs), VAULT (Stores) | Two-Envelope AVL Protocol</t>
  </si>
  <si>
    <t xml:space="preserve">Package ID</t>
  </si>
  <si>
    <t xml:space="preserve">Equipment / Material Scope</t>
  </si>
  <si>
    <t xml:space="preserve">Buyer</t>
  </si>
  <si>
    <t xml:space="preserve">OEM Vendor</t>
  </si>
  <si>
    <t xml:space="preserve">Package Budget ($)</t>
  </si>
  <si>
    <t xml:space="preserve">15% Advance ($) [Auto]</t>
  </si>
  <si>
    <t xml:space="preserve">75% LC Ship ($) [Auto]</t>
  </si>
  <si>
    <t xml:space="preserve">10% Ret ($) [Auto]</t>
  </si>
  <si>
    <t xml:space="preserve">PO Drop-Dead Day</t>
  </si>
  <si>
    <t xml:space="preserve">Lead Time (Days)</t>
  </si>
  <si>
    <t xml:space="preserve">ROSD Target Day [Auto]</t>
  </si>
  <si>
    <t xml:space="preserve">Delivered Qty</t>
  </si>
  <si>
    <t xml:space="preserve">220kV/33kV 100MVA Main Power Transformer (ONAN/ONAF)</t>
  </si>
  <si>
    <t xml:space="preserve">POWERTRANS</t>
  </si>
  <si>
    <t xml:space="preserve">CRITICAL RFQ (0d Float)</t>
  </si>
  <si>
    <t xml:space="preserve">220kV SF6 Gas Insulated Switchgear (40kA/3s)</t>
  </si>
  <si>
    <t xml:space="preserve">100MW Bifacial Solar PV Modules (172,800 pcs 580W TOPCon)</t>
  </si>
  <si>
    <t xml:space="preserve">LUMINOS</t>
  </si>
  <si>
    <t xml:space="preserve">NEAR-CRITICAL RFQ</t>
  </si>
  <si>
    <t xml:space="preserve">1P Single-Axis Trackers &amp; Steel Structures (5,100 tables)</t>
  </si>
  <si>
    <t xml:space="preserve">AVL Shortlist</t>
  </si>
  <si>
    <t xml:space="preserve">MTO ALIGNMENT</t>
  </si>
  <si>
    <t xml:space="preserve">Central Inverters &amp; 33kV MV Skids (25 x 4.0MVA + PPC)</t>
  </si>
  <si>
    <t xml:space="preserve">INVERSA</t>
  </si>
  <si>
    <t xml:space="preserve">SPEC ALIGNMENT</t>
  </si>
  <si>
    <t xml:space="preserve">Galvanized H-Piles for PV Foundations (15,400 piles)</t>
  </si>
  <si>
    <t xml:space="preserve">RFQ IN DRAFT</t>
  </si>
  <si>
    <t xml:space="preserve">1.5kV Solar DC String &amp; Main Cables (1,300 km)</t>
  </si>
  <si>
    <t xml:space="preserve">33kV XLPE Underground MV Cables &amp; Cold-Shrink Kits (30 km)</t>
  </si>
  <si>
    <t xml:space="preserve">Substation &amp; Plant Balance of Plant (RMUs, Earthing, Fiber)</t>
  </si>
  <si>
    <t xml:space="preserve">Total Procurement Portfolio (60% of Contract Price)</t>
  </si>
  <si>
    <t xml:space="preserve">All OEMs</t>
  </si>
  <si>
    <t xml:space="preserve">HELIOS EPC — QUALITY ITP HOLD POINTS, HSE PERMITS TO WORK (PTW) &amp; UZBEKISTAN STATUTORY TRACKER</t>
  </si>
  <si>
    <t xml:space="preserve">Custodians: SENTINEL (QA/QC Manager), AEGIS (EHS Manager) &amp; PERMIT (Statutory Liaison) | Start Position: Day 001 (2026-10-06)</t>
  </si>
  <si>
    <t xml:space="preserve">Control / Permit ID</t>
  </si>
  <si>
    <t xml:space="preserve">Category</t>
  </si>
  <si>
    <t xml:space="preserve">WBS / Work Package</t>
  </si>
  <si>
    <t xml:space="preserve">Activity / Inspection / Permit Scope</t>
  </si>
  <si>
    <t xml:space="preserve">Governing Standard / Uzbekistan Norm</t>
  </si>
  <si>
    <t xml:space="preserve">Internal Owner</t>
  </si>
  <si>
    <t xml:space="preserve">External Witness / Authority</t>
  </si>
  <si>
    <t xml:space="preserve">Gate Type</t>
  </si>
  <si>
    <t xml:space="preserve">Day 001 Status</t>
  </si>
  <si>
    <t xml:space="preserve">HEL-IR-CIV-001</t>
  </si>
  <si>
    <t xml:space="preserve">QA/QC ITP</t>
  </si>
  <si>
    <t xml:space="preserve">Perimeter Fencing, Security Gates &amp; Camp Readiness</t>
  </si>
  <si>
    <t xml:space="preserve">Project Spec / HEL-QA-PLN-0001</t>
  </si>
  <si>
    <t xml:space="preserve">PLUMBLINE</t>
  </si>
  <si>
    <t xml:space="preserve">AUDITOR (M)</t>
  </si>
  <si>
    <t xml:space="preserve">W (Witness)</t>
  </si>
  <si>
    <t xml:space="preserve">HEL-IR-CIV-002</t>
  </si>
  <si>
    <t xml:space="preserve">Mass Grading Sub-Grade Compaction &amp; Internal Roads</t>
  </si>
  <si>
    <t xml:space="preserve">NDG &gt;= 95% MDD, CBR per KMK, +-50mm</t>
  </si>
  <si>
    <t xml:space="preserve">AUDITOR (W)</t>
  </si>
  <si>
    <t xml:space="preserve">H (Hold Point)</t>
  </si>
  <si>
    <t xml:space="preserve">SCHEDULED M2</t>
  </si>
  <si>
    <t xml:space="preserve">HEL-IR-CIV-003</t>
  </si>
  <si>
    <t xml:space="preserve">Pre-Construction Pile Static Load Tests (Compression/Uplift/Lateral)</t>
  </si>
  <si>
    <t xml:space="preserve">ASTM D1143 / D3689 (&gt;=1.5x) / D3966 (&lt;=6mm), KMK 2.02.01-98</t>
  </si>
  <si>
    <t xml:space="preserve">AUDITOR (H), INSPECTOR</t>
  </si>
  <si>
    <t xml:space="preserve">MANDATORY PRE-PILING</t>
  </si>
  <si>
    <t xml:space="preserve">HEL-IR-CIV-004</t>
  </si>
  <si>
    <t xml:space="preserve">Production Driven Pile Acceptance (E-W &lt;= 20mm, Head &lt;= 6mm)</t>
  </si>
  <si>
    <t xml:space="preserve">HEL-ST-CAL-0010 / SOLARIS Spec</t>
  </si>
  <si>
    <t xml:space="preserve">SCHEDULED M4</t>
  </si>
  <si>
    <t xml:space="preserve">HEL-IR-MEC-001</t>
  </si>
  <si>
    <t xml:space="preserve">1P Tracker Bearing, Torque Tube &amp; Slew Drive Bolt Torque Check</t>
  </si>
  <si>
    <t xml:space="preserve">OEM Torque Spec + 100% Torque-Seal Marks</t>
  </si>
  <si>
    <t xml:space="preserve">TORQUE</t>
  </si>
  <si>
    <t xml:space="preserve">SCHEDULED M5</t>
  </si>
  <si>
    <t xml:space="preserve">HEL-IR-MEC-002</t>
  </si>
  <si>
    <t xml:space="preserve">580W Bifacial Module Clamping Zone &amp; Torque (14-20 Nm)</t>
  </si>
  <si>
    <t xml:space="preserve">LUMINOS Manual / IEC 62446-1</t>
  </si>
  <si>
    <t xml:space="preserve">SCHEDULED M6</t>
  </si>
  <si>
    <t xml:space="preserve">HEL-IR-ELE-001</t>
  </si>
  <si>
    <t xml:space="preserve">DC String Polarity, Voc, Isc, Megger IR &amp; IV Curve (FF &gt;= 78%)</t>
  </si>
  <si>
    <t xml:space="preserve">IEC 62446-1 / IEC 62930</t>
  </si>
  <si>
    <t xml:space="preserve">OHMMETER</t>
  </si>
  <si>
    <t xml:space="preserve">SCHEDULED M13</t>
  </si>
  <si>
    <t xml:space="preserve">HEL-IR-ELE-002</t>
  </si>
  <si>
    <t xml:space="preserve">33kV MV Cable Cold-Shrink Jointing (Tent) &amp; 0.1Hz VLF Test</t>
  </si>
  <si>
    <t xml:space="preserve">IEEE 400.2 / IEC 60502-2</t>
  </si>
  <si>
    <t xml:space="preserve">AUDITOR (H)</t>
  </si>
  <si>
    <t xml:space="preserve">SCHEDULED M7</t>
  </si>
  <si>
    <t xml:space="preserve">HEL-IR-SUB-001</t>
  </si>
  <si>
    <t xml:space="preserve">220kV 100MVA MPT Impact Recorder Check (&lt;=4.0g), SFRA &amp; Relay Test</t>
  </si>
  <si>
    <t xml:space="preserve">IEC 60076-18 / POWERTRANS / PUE</t>
  </si>
  <si>
    <t xml:space="preserve">AUDITOR (H), GRIDMASTER</t>
  </si>
  <si>
    <t xml:space="preserve">SCHEDULED M10-M16</t>
  </si>
  <si>
    <t xml:space="preserve">PTW-GEN-001</t>
  </si>
  <si>
    <t xml:space="preserve">HSE Permit</t>
  </si>
  <si>
    <t xml:space="preserve">Site Mobilization, Survey Peg-Out &amp; Temporary Facilities Permit</t>
  </si>
  <si>
    <t xml:space="preserve">HEL-HS-PLN-0001 / SanPiN 0289-10</t>
  </si>
  <si>
    <t xml:space="preserve">AEGIS / GUARDIAN</t>
  </si>
  <si>
    <t xml:space="preserve">INSPECTOR</t>
  </si>
  <si>
    <t xml:space="preserve">PTW Active</t>
  </si>
  <si>
    <t xml:space="preserve">APPROVED</t>
  </si>
  <si>
    <t xml:space="preserve">UZ-PRM-001</t>
  </si>
  <si>
    <t xml:space="preserve">Statutory</t>
  </si>
  <si>
    <t xml:space="preserve">Bukhara Regional Hokimiyat 250 Ha Land Allocation Decree</t>
  </si>
  <si>
    <t xml:space="preserve">Land Code of Uzbekistan</t>
  </si>
  <si>
    <t xml:space="preserve">PERMIT / SUMMIT</t>
  </si>
  <si>
    <t xml:space="preserve">Permit Gate</t>
  </si>
  <si>
    <t xml:space="preserve">UZ-PRM-002</t>
  </si>
  <si>
    <t xml:space="preserve">State Environmental Expertise (SEE / ZVOS) &amp; EMP Clearance</t>
  </si>
  <si>
    <t xml:space="preserve">Goskompriroda / IFC PS1-PS8</t>
  </si>
  <si>
    <t xml:space="preserve">PERMIT / VERDANT</t>
  </si>
  <si>
    <t xml:space="preserve">UZ-PRM-003</t>
  </si>
  <si>
    <t xml:space="preserve">Territorial GASN Construction Permit &amp; KMK State Expertise</t>
  </si>
  <si>
    <t xml:space="preserve">Urban Planning Code / KMK 2.02.01-98</t>
  </si>
  <si>
    <t xml:space="preserve">PERMIT / ARCHON</t>
  </si>
  <si>
    <t xml:space="preserve">IN REVIEW</t>
  </si>
  <si>
    <t xml:space="preserve">UZ-PRM-006</t>
  </si>
  <si>
    <t xml:space="preserve">GOST-UZ Certificate of Conformity for 220kV MPT &amp; GIS</t>
  </si>
  <si>
    <t xml:space="preserve">Uzstandard / Khorgos Customs Code</t>
  </si>
  <si>
    <t xml:space="preserve">ROUTE / PERMIT</t>
  </si>
  <si>
    <t xml:space="preserve">Customs Gate</t>
  </si>
  <si>
    <t xml:space="preserve">WATCH</t>
  </si>
  <si>
    <t xml:space="preserve">UZ-PRM-007</t>
  </si>
  <si>
    <t xml:space="preserve">Uzenergoinspeksiya Admission Act for Energisation (Akt Dopuska)</t>
  </si>
  <si>
    <t xml:space="preserve">PUE / UzbekEnergo Grid Code</t>
  </si>
  <si>
    <t xml:space="preserve">PERMIT / IGNITE</t>
  </si>
  <si>
    <t xml:space="preserve">GRIDMASTER, INSPECTOR</t>
  </si>
  <si>
    <t xml:space="preserve">Energisation Gate</t>
  </si>
  <si>
    <t xml:space="preserve">SCHEDULED M16</t>
  </si>
  <si>
    <t xml:space="preserve">HELIOS EPC — FIDIC YELLOW BOOK COMMERCIAL LEDGER &amp; 17 PRE-PLANTED SIMULATION EVENTS</t>
  </si>
  <si>
    <t xml:space="preserve">Custodians: COUNSEL (Contracts Mgr), CLAIMS (Claims Eng), INVOICE (Billing QS), CHECKER (Sub Verifier) | Sub-Clause 20.1: 28-Day Notice Bar</t>
  </si>
  <si>
    <t xml:space="preserve">Event ID</t>
  </si>
  <si>
    <t xml:space="preserve">Phase / Month</t>
  </si>
  <si>
    <t xml:space="preserve">Trigger Sim Days</t>
  </si>
  <si>
    <t xml:space="preserve">Pre-Planted Event Description</t>
  </si>
  <si>
    <t xml:space="preserve">Primary Agents Hit</t>
  </si>
  <si>
    <t xml:space="preserve">FIDIC Sub-Clause</t>
  </si>
  <si>
    <t xml:space="preserve">28d Notice Required?</t>
  </si>
  <si>
    <t xml:space="preserve">Expected Technical &amp; Commercial Chain Reaction</t>
  </si>
  <si>
    <t xml:space="preserve">Critical Path?</t>
  </si>
  <si>
    <t xml:space="preserve">EVT-001</t>
  </si>
  <si>
    <t xml:space="preserve">P1 / M01</t>
  </si>
  <si>
    <t xml:space="preserve">Days 004-015</t>
  </si>
  <si>
    <t xml:space="preserve">Geotechnical report shows rock layer at 0.8m in Block 6 (design assumed 1.5m)</t>
  </si>
  <si>
    <t xml:space="preserve">TERRA, MERIDIAN, BASTION, KRONOS, COUNSEL</t>
  </si>
  <si>
    <t xml:space="preserve">Sub-Clause 4.12 &amp; 20.1</t>
  </si>
  <si>
    <t xml:space="preserve">YES (28d Bar)</t>
  </si>
  <si>
    <t xml:space="preserve">TERRA issues FDC-CIV-001 (DTH pre-drill), COUNSEL serves 4.12 notice, KRONOS logs DEL-001</t>
  </si>
  <si>
    <t xml:space="preserve">No (+45d Float)</t>
  </si>
  <si>
    <t xml:space="preserve">SEEDED (D004)</t>
  </si>
  <si>
    <t xml:space="preserve">EVT-002</t>
  </si>
  <si>
    <t xml:space="preserve">P1 / M02</t>
  </si>
  <si>
    <t xml:space="preserve">Days 030-045</t>
  </si>
  <si>
    <t xml:space="preserve">UzbekEnergo requests protection philosophy resubmission — new grid code PFR</t>
  </si>
  <si>
    <t xml:space="preserve">VOLTA, CIPHER, ARCHON, KRONOS, COUNSEL, GRIDMASTER</t>
  </si>
  <si>
    <t xml:space="preserve">Sub-Clause 13.7 &amp; 20.1</t>
  </si>
  <si>
    <t xml:space="preserve">INVERSA PPC firmware update, CIPHER revises HEL-PR-PHL-0200, COUNSEL serves 20.1 notice</t>
  </si>
  <si>
    <t xml:space="preserve">YES (0d Float)</t>
  </si>
  <si>
    <t xml:space="preserve">SEEDED</t>
  </si>
  <si>
    <t xml:space="preserve">EVT-003</t>
  </si>
  <si>
    <t xml:space="preserve">P1 / M03</t>
  </si>
  <si>
    <t xml:space="preserve">Days 065-080</t>
  </si>
  <si>
    <t xml:space="preserve">Module vendor (LUMINOS) requests 8-week delivery extension (cell shortage)</t>
  </si>
  <si>
    <t xml:space="preserve">FORGE, CONVOY, KRONOS, WATT, CLAIMS, LUMINOS</t>
  </si>
  <si>
    <t xml:space="preserve">PO LD Clause &amp; 8.4</t>
  </si>
  <si>
    <t xml:space="preserve">Vendor LD Notice</t>
  </si>
  <si>
    <t xml:space="preserve">WATT flags near-critical erosion, CONVOY negotiates split block-train shipments, KRONOS TIA</t>
  </si>
  <si>
    <t xml:space="preserve">Near-Critical</t>
  </si>
  <si>
    <t xml:space="preserve">EVT-004</t>
  </si>
  <si>
    <t xml:space="preserve">P2 / M04</t>
  </si>
  <si>
    <t xml:space="preserve">Days 095-108</t>
  </si>
  <si>
    <t xml:space="preserve">Severe Kyzylkum dust storm shuts down outdoor installation for 3 days</t>
  </si>
  <si>
    <t xml:space="preserve">AEGIS, GUARDIAN, STRATUM, EREKTOR, KRONOS</t>
  </si>
  <si>
    <t xml:space="preserve">Sub-Clause 8.4(c) / 19</t>
  </si>
  <si>
    <t xml:space="preserve">YES (Weather Log)</t>
  </si>
  <si>
    <t xml:space="preserve">AEGIS issues site SWO, EREKTOR claims standby, KRONOS logs weather delay vs baseline</t>
  </si>
  <si>
    <t xml:space="preserve">No (Float)</t>
  </si>
  <si>
    <t xml:space="preserve">EVT-005</t>
  </si>
  <si>
    <t xml:space="preserve">P2 / M05</t>
  </si>
  <si>
    <t xml:space="preserve">Days 120-135</t>
  </si>
  <si>
    <t xml:space="preserve">GROUNDWORK pile driving crew reduced from 4 rigs to 2 (cylinder breakdown)</t>
  </si>
  <si>
    <t xml:space="preserve">BASTION, VECTOR, RAMPART, KRONOS, LEDGER, GROUNDWORK</t>
  </si>
  <si>
    <t xml:space="preserve">Subcontract Default</t>
  </si>
  <si>
    <t xml:space="preserve">Sub Cure Notice</t>
  </si>
  <si>
    <t xml:space="preserve">Daily piling drops 50%, RAMPART issues 7-day cure notice, LEDGER quantifies back-charge</t>
  </si>
  <si>
    <t xml:space="preserve">No (Local)</t>
  </si>
  <si>
    <t xml:space="preserve">EVT-006</t>
  </si>
  <si>
    <t xml:space="preserve">P2 / M06</t>
  </si>
  <si>
    <t xml:space="preserve">Days 145-160</t>
  </si>
  <si>
    <t xml:space="preserve">NCR raised: 47 piles in Block 3 out of tolerance (E-W deviation &gt;20mm)</t>
  </si>
  <si>
    <t xml:space="preserve">STRATUM, TORQUE, SENTINEL, EREKTOR, TERRA, PRISM</t>
  </si>
  <si>
    <t xml:space="preserve">Sub-Clause 7.5 / 7.6</t>
  </si>
  <si>
    <t xml:space="preserve">Category B NCR</t>
  </si>
  <si>
    <t xml:space="preserve">SENTINEL issues NCR, EREKTOR refuses handover, PRISM joint survey, re-drive/slot remedy</t>
  </si>
  <si>
    <t xml:space="preserve">EVT-007</t>
  </si>
  <si>
    <t xml:space="preserve">P2 / M07</t>
  </si>
  <si>
    <t xml:space="preserve">Days 175-190</t>
  </si>
  <si>
    <t xml:space="preserve">33kV MV cable straight joint J-037 fails 0.1Hz VLF test on Circuit INV3</t>
  </si>
  <si>
    <t xml:space="preserve">ARCLINE, OHMMETER, ELECTRA, VOLTA, KRONOS</t>
  </si>
  <si>
    <t xml:space="preserve">Sub-Clause 7.4 / ITP</t>
  </si>
  <si>
    <t xml:space="preserve">Testing stopped, TDR fault location, ELECTRA cuts out &amp; re-joints in tent, extended VLF test</t>
  </si>
  <si>
    <t xml:space="preserve">EVT-008</t>
  </si>
  <si>
    <t xml:space="preserve">P2 / M08</t>
  </si>
  <si>
    <t xml:space="preserve">Days 200-215</t>
  </si>
  <si>
    <t xml:space="preserve">Client (PATRON) rejects MPR — claims progress is overstated by 8%</t>
  </si>
  <si>
    <t xml:space="preserve">SIGMA, KRONOS, ATLAS, COUNSEL, INVOICE, PATRON, AUDITOR</t>
  </si>
  <si>
    <t xml:space="preserve">Sub-Clause 14.6</t>
  </si>
  <si>
    <t xml:space="preserve">IPC Dispute</t>
  </si>
  <si>
    <t xml:space="preserve">SIGMA reconciles Rule of Credit with AUDITOR, COUNSEL submits formal contractual rebuttal</t>
  </si>
  <si>
    <t xml:space="preserve">Commercial</t>
  </si>
  <si>
    <t xml:space="preserve">EVT-009</t>
  </si>
  <si>
    <t xml:space="preserve">P3 / M09</t>
  </si>
  <si>
    <t xml:space="preserve">Days 230-245</t>
  </si>
  <si>
    <t xml:space="preserve">220kV 100MVA MPT held at Khorgos border — missing GOST-UZ certificate</t>
  </si>
  <si>
    <t xml:space="preserve">ROUTE, TRACER, CONVOY, KRONOS, COUNSEL, POWERTRANS</t>
  </si>
  <si>
    <t xml:space="preserve">Sub-Clause 8.4(e) &amp; 20.1</t>
  </si>
  <si>
    <t xml:space="preserve">ROUTE mobilizes Tashkent broker, POWERTRANS sends GOST passport, COUNSEL files EOT notice</t>
  </si>
  <si>
    <t xml:space="preserve">EVT-010</t>
  </si>
  <si>
    <t xml:space="preserve">P3 / M10</t>
  </si>
  <si>
    <t xml:space="preserve">Days 260-275</t>
  </si>
  <si>
    <t xml:space="preserve">220kV MPT arrives with 3-axis impact recorder showing 5.2g (threshold 4g)</t>
  </si>
  <si>
    <t xml:space="preserve">TRACER, VAULT, SWITCHMAN, RELAY, CONVOY, POWERTRANS</t>
  </si>
  <si>
    <t xml:space="preserve">Sub-Clause 18.2 / OEM</t>
  </si>
  <si>
    <t xml:space="preserve">Marine Insurance</t>
  </si>
  <si>
    <t xml:space="preserve">VAULT quarantines MPT, POWERTRANS runs IEC 60076-18 SFRA test, LEDGE logs cargo claim</t>
  </si>
  <si>
    <t xml:space="preserve">EVT-011</t>
  </si>
  <si>
    <t xml:space="preserve">P3 / M11</t>
  </si>
  <si>
    <t xml:space="preserve">Days 285-300</t>
  </si>
  <si>
    <t xml:space="preserve">Subcontractor ELECTRA threatens to demobilise — claims 3 months unpaid IPCs</t>
  </si>
  <si>
    <t xml:space="preserve">CHECKER, INVOICE, COUNSEL, RAMPART, ATLAS, ELECTRA</t>
  </si>
  <si>
    <t xml:space="preserve">Subcontract Payment</t>
  </si>
  <si>
    <t xml:space="preserve">14d Suspension</t>
  </si>
  <si>
    <t xml:space="preserve">CHECKER audits JMC overclaims, COUNSEL reviews pay-when-paid, ATLAS escalates to Danesh</t>
  </si>
  <si>
    <t xml:space="preserve">EVT-012</t>
  </si>
  <si>
    <t xml:space="preserve">P3 / M12</t>
  </si>
  <si>
    <t xml:space="preserve">Days 315-330</t>
  </si>
  <si>
    <t xml:space="preserve">Extreme winter (-26C) — ground frozen solid, piling &amp; concrete halted 18d</t>
  </si>
  <si>
    <t xml:space="preserve">AEGIS, VECTOR, BASTION, KRONOS, CLAIMS, INSPECTOR</t>
  </si>
  <si>
    <t xml:space="preserve">Sub-Clause 8.4(c) &amp; 20.1</t>
  </si>
  <si>
    <t xml:space="preserve">KRONOS compares 10-yr Bukhara met data for exceptional climatic entitlement, CLAIMS files EOT</t>
  </si>
  <si>
    <t xml:space="preserve">Weather Path</t>
  </si>
  <si>
    <t xml:space="preserve">EVT-013</t>
  </si>
  <si>
    <t xml:space="preserve">P4 / M13</t>
  </si>
  <si>
    <t xml:space="preserve">Days 340-355</t>
  </si>
  <si>
    <t xml:space="preserve">PATRON issues scope change instruction — add 5MW BESS reserve area</t>
  </si>
  <si>
    <t xml:space="preserve">ATLAS, COUNSEL, KRONOS, ARCHON, LEDGER, PATRON</t>
  </si>
  <si>
    <t xml:space="preserve">Sub-Clause 13.1 &amp; 13.3</t>
  </si>
  <si>
    <t xml:space="preserve">YES (VO Proposal)</t>
  </si>
  <si>
    <t xml:space="preserve">COUNSEL logs Variation Order, ARCHON designs 33kV feeder bay &amp; civil pad, LEDGER prices VO</t>
  </si>
  <si>
    <t xml:space="preserve">Scope Change</t>
  </si>
  <si>
    <t xml:space="preserve">EVT-014</t>
  </si>
  <si>
    <t xml:space="preserve">P4 / M14</t>
  </si>
  <si>
    <t xml:space="preserve">Days 370-385</t>
  </si>
  <si>
    <t xml:space="preserve">Protection relay settings rejected by UzbekEnergo — new reactive power spec</t>
  </si>
  <si>
    <t xml:space="preserve">CIPHER, VOLTA, RELAY, GRIDLOCK, KRONOS, GRIDMASTER</t>
  </si>
  <si>
    <t xml:space="preserve">CIPHER &amp; INVERSA recalculate Q-curves, RELAY re-programs IEDs and repeats injection tests</t>
  </si>
  <si>
    <t xml:space="preserve">EVT-015</t>
  </si>
  <si>
    <t xml:space="preserve">P4 / M15</t>
  </si>
  <si>
    <t xml:space="preserve">Days 395-410</t>
  </si>
  <si>
    <t xml:space="preserve">IV curve test shows 12% of strings in Block 4 below Fill Factor (&lt;72%)</t>
  </si>
  <si>
    <t xml:space="preserve">SPARK, OHMMETER, AMPERE, EREKTOR, SENTINEL, LUMINOS</t>
  </si>
  <si>
    <t xml:space="preserve">OEM Warranty / 7.5</t>
  </si>
  <si>
    <t xml:space="preserve">RMA Claim</t>
  </si>
  <si>
    <t xml:space="preserve">EL imaging finds microcracks in 200 modules; LUMINOS replaces from spare buffer</t>
  </si>
  <si>
    <t xml:space="preserve">EVT-016</t>
  </si>
  <si>
    <t xml:space="preserve">P4 / M16</t>
  </si>
  <si>
    <t xml:space="preserve">Days 425-440</t>
  </si>
  <si>
    <t xml:space="preserve">UzbekEnergo delays energisation consent by 4 weeks — approval backlog</t>
  </si>
  <si>
    <t xml:space="preserve">GRIDLOCK, IGNITE, KRONOS, COUNSEL, ATLAS, GRIDMASTER</t>
  </si>
  <si>
    <t xml:space="preserve">COUNSEL serves authority delay EOT notice, KRONOS updates COD forecast, Danesh escalates</t>
  </si>
  <si>
    <t xml:space="preserve">EVT-017</t>
  </si>
  <si>
    <t xml:space="preserve">P4 / M17</t>
  </si>
  <si>
    <t xml:space="preserve">Days 455-470</t>
  </si>
  <si>
    <t xml:space="preserve">Performance Ratio (PR) test result: 76.2% (target 80.0%) — below PAC gate</t>
  </si>
  <si>
    <t xml:space="preserve">IGNITE, GRIDLOCK, SPARK, SIGMA, PATRON, CERTIFIER</t>
  </si>
  <si>
    <t xml:space="preserve">Sub-Clause 9.4 &amp; 10.1</t>
  </si>
  <si>
    <t xml:space="preserve">PAC Withheld</t>
  </si>
  <si>
    <t xml:space="preserve">CERTIFIER/PATRON withhold PAC; T&amp;C cleans modules, recalibrates pyranometers &amp; re-tests 7d</t>
  </si>
  <si>
    <t xml:space="preserve">YES (COD Gate)</t>
  </si>
  <si>
    <t xml:space="preserve">HELIOS EPC — CODED COMMUNICATION CHANNELS, MAIL NUMBERING STANDARD &amp; DAY 001 LOG</t>
  </si>
  <si>
    <t xml:space="preserve">Format: HEL-D{DDD}-{FROM_DEPT}-{TO_DEPT}-{WORK_CODE}-{TYPE}-{NNNN} | Dual Storage: GitHub Issues Channels + Departmental Communications_&lt;DEPT&gt;.md</t>
  </si>
  <si>
    <t xml:space="preserve">Channel Code</t>
  </si>
  <si>
    <t xml:space="preserve">GitHub Issue #</t>
  </si>
  <si>
    <t xml:space="preserve">Channel Title &amp; Scope</t>
  </si>
  <si>
    <t xml:space="preserve">Primary Owning Dept</t>
  </si>
  <si>
    <t xml:space="preserve">Participating Agents</t>
  </si>
  <si>
    <t xml:space="preserve">Allowed Mail Types</t>
  </si>
  <si>
    <t xml:space="preserve">Work Codes Covered</t>
  </si>
  <si>
    <t xml:space="preserve">Repo Folder Mirror (.md)</t>
  </si>
  <si>
    <t xml:space="preserve">Response SLA</t>
  </si>
  <si>
    <t xml:space="preserve">Channel Status</t>
  </si>
  <si>
    <t xml:space="preserve">CH-01</t>
  </si>
  <si>
    <t xml:space="preserve">Issue #11</t>
  </si>
  <si>
    <t xml:space="preserve">[CH-01 | PD-EXEC] Executive PD Briefings, Directives &amp; Event Injections</t>
  </si>
  <si>
    <t xml:space="preserve">PMO / EXT</t>
  </si>
  <si>
    <t xml:space="preserve">DANESH (PD), ATLAS, NEXUS</t>
  </si>
  <si>
    <t xml:space="preserve">RPT, INS, ESC, EVT</t>
  </si>
  <si>
    <t xml:space="preserve">MOB, GEN, ALL</t>
  </si>
  <si>
    <t xml:space="preserve">00_Project_Overview/Communications_PMO.md</t>
  </si>
  <si>
    <t xml:space="preserve">Same Sim Day</t>
  </si>
  <si>
    <t xml:space="preserve">CH-02</t>
  </si>
  <si>
    <t xml:space="preserve">Issue #12</t>
  </si>
  <si>
    <t xml:space="preserve">[CH-02 | PMO-PLN] Master Schedule, EVM Controls, DPR/WPR/MPR &amp; Action Chasers</t>
  </si>
  <si>
    <t xml:space="preserve">PLN / PMO</t>
  </si>
  <si>
    <t xml:space="preserve">ATLAS, NEXUS, KRONOS, VECTOR, WATT, SIGMA, LEDGER</t>
  </si>
  <si>
    <t xml:space="preserve">RPT, DEL, INS, MOM</t>
  </si>
  <si>
    <t xml:space="preserve">01_Planning_Controls/Communications_PLN.md</t>
  </si>
  <si>
    <t xml:space="preserve">CH-03</t>
  </si>
  <si>
    <t xml:space="preserve">Issue #13</t>
  </si>
  <si>
    <t xml:space="preserve">[CH-03 | ENG-DES] Engineering Design, Submittals, RFIs, FDCs &amp; Technical Queries</t>
  </si>
  <si>
    <t xml:space="preserve">ENG</t>
  </si>
  <si>
    <t xml:space="preserve">ARCHON, TERRA, MERIDIAN, SOLARIS, AMPERE, VOLTA, CIPHER, NEXGEN, HERALD</t>
  </si>
  <si>
    <t xml:space="preserve">RFI, INS, RPT, ESC</t>
  </si>
  <si>
    <t xml:space="preserve">CIV, PIL, TRK, MOD, SUB</t>
  </si>
  <si>
    <t xml:space="preserve">02_Engineering_Design/Communications_ENG.md</t>
  </si>
  <si>
    <t xml:space="preserve">Max 2 Sim Days</t>
  </si>
  <si>
    <t xml:space="preserve">CH-04</t>
  </si>
  <si>
    <t xml:space="preserve">Issue #14</t>
  </si>
  <si>
    <t xml:space="preserve">[CH-04 | SCM-LOG] Procurement, TBE/CBE, Factory Expediting, Khorgos Customs &amp; Stores</t>
  </si>
  <si>
    <t xml:space="preserve">SCM / EXT</t>
  </si>
  <si>
    <t xml:space="preserve">CONVOY, FORGE, DEPOT, VENDOR, TRACER, ROUTE, VAULT, LUMINOS, INVERSA, POWERTRANS</t>
  </si>
  <si>
    <t xml:space="preserve">INS, RPT, NTC, ESC</t>
  </si>
  <si>
    <t xml:space="preserve">PIL, TRK, MOD, INV, TRA, GIS</t>
  </si>
  <si>
    <t xml:space="preserve">03_SCM/Communications_SCM.md</t>
  </si>
  <si>
    <t xml:space="preserve">CH-05</t>
  </si>
  <si>
    <t xml:space="preserve">Issue #15</t>
  </si>
  <si>
    <t xml:space="preserve">[CH-05 | CON-CIV] PV Field Civil, Earthworks, Piling &amp; Tracker Erection Workfront</t>
  </si>
  <si>
    <t xml:space="preserve">CON / SUB</t>
  </si>
  <si>
    <t xml:space="preserve">RAMPART, BASTION, STRATUM, PRISM, GROUNDWORK, EREKTOR</t>
  </si>
  <si>
    <t xml:space="preserve">INS, RFI, RPT, ESC</t>
  </si>
  <si>
    <t xml:space="preserve">MOB, CIV, PIL, TRK, MOD</t>
  </si>
  <si>
    <t xml:space="preserve">04_Construction/Communications_CON.md</t>
  </si>
  <si>
    <t xml:space="preserve">CH-06</t>
  </si>
  <si>
    <t xml:space="preserve">Issue #16</t>
  </si>
  <si>
    <t xml:space="preserve">[CH-06 | CON-ELE] DC/MV Cabling, PCS Skids &amp; 33/220kV Substation Civil/E&amp;M Workfront</t>
  </si>
  <si>
    <t xml:space="preserve">RAMPART, CONDUIT, ARCLINE, FORTRESS, SWITCHMAN, ELECTRA, GRIDCON</t>
  </si>
  <si>
    <t xml:space="preserve">CAB, INV, FND, SUB</t>
  </si>
  <si>
    <t xml:space="preserve">CH-07</t>
  </si>
  <si>
    <t xml:space="preserve">Issue #17</t>
  </si>
  <si>
    <t xml:space="preserve">[CH-07 | QAQ-ITP] Quality Assurance, ITP Hold Points, Load Tests &amp; NCR Management</t>
  </si>
  <si>
    <t xml:space="preserve">QAQ / EXT</t>
  </si>
  <si>
    <t xml:space="preserve">SENTINEL, PLUMBLINE, TORQUE, OHMMETER, DOSSIER, AUDITOR, CERTIFIER</t>
  </si>
  <si>
    <t xml:space="preserve">NCR, INS, RPT, ESC</t>
  </si>
  <si>
    <t xml:space="preserve">CIV, PIL, TRK, MOD, CAB, SUB</t>
  </si>
  <si>
    <t xml:space="preserve">05_Quality/Communications_QAQ.md</t>
  </si>
  <si>
    <t xml:space="preserve">CH-08</t>
  </si>
  <si>
    <t xml:space="preserve">Issue #18</t>
  </si>
  <si>
    <t xml:space="preserve">[CH-08 | EHS-PRM] HSE Safety, PTW Permits, Environmental &amp; Uzbekistan Statutory Liaison</t>
  </si>
  <si>
    <t xml:space="preserve">EHS / ADM</t>
  </si>
  <si>
    <t xml:space="preserve">AEGIS, GUARDIAN, WARDEN, VERDANT, SUMMIT, PERMIT, INSPECTOR</t>
  </si>
  <si>
    <t xml:space="preserve">INS, NCR, RPT, ESC</t>
  </si>
  <si>
    <t xml:space="preserve">MOB, CIV, PIL, SUB, GEN</t>
  </si>
  <si>
    <t xml:space="preserve">06_EHS/Communications_EHS.md</t>
  </si>
  <si>
    <t xml:space="preserve">Immediate (SWA)</t>
  </si>
  <si>
    <t xml:space="preserve">CH-09</t>
  </si>
  <si>
    <t xml:space="preserve">Issue #19</t>
  </si>
  <si>
    <t xml:space="preserve">[CH-09 | COM-FID] FIDIC Contracts, Sub-Clause 20.1 Notices, Claims, VOs &amp; IPC/JMC Billing</t>
  </si>
  <si>
    <t xml:space="preserve">COM / EXT</t>
  </si>
  <si>
    <t xml:space="preserve">COUNSEL, CLAIMS, INVOICE, CHECKER, LEDGE, LEDGER2, PATRON</t>
  </si>
  <si>
    <t xml:space="preserve">NTC, VO, BIL, DEL, ESC</t>
  </si>
  <si>
    <t xml:space="preserve">ALL WORK CODES</t>
  </si>
  <si>
    <t xml:space="preserve">07_Contracts/Communications_COM.md</t>
  </si>
  <si>
    <t xml:space="preserve">CH-10</t>
  </si>
  <si>
    <t xml:space="preserve">Issue #20</t>
  </si>
  <si>
    <t xml:space="preserve">[CH-10 | TNC-GRD] Testing, Commissioning, Relay Settings, UzbekEnergo Grid Sync &amp; PAC</t>
  </si>
  <si>
    <t xml:space="preserve">TNC / EXT</t>
  </si>
  <si>
    <t xml:space="preserve">IGNITE, SPARK, RELAY, GRIDLOCK, GRIDMASTER, CERTIFIER, PATRON</t>
  </si>
  <si>
    <t xml:space="preserve">TNC, SUB, MOD, INV</t>
  </si>
  <si>
    <t xml:space="preserve">08_TC/Communications_TNC.md</t>
  </si>
  <si>
    <t xml:space="preserve">Mail Code (Msg-ID)</t>
  </si>
  <si>
    <t xml:space="preserve">Sim Day &amp; Time</t>
  </si>
  <si>
    <t xml:space="preserve">Channel</t>
  </si>
  <si>
    <t xml:space="preserve">From Agent (Dept)</t>
  </si>
  <si>
    <t xml:space="preserve">To Agent (Dept)</t>
  </si>
  <si>
    <t xml:space="preserve">Work Code</t>
  </si>
  <si>
    <t xml:space="preserve">Mail Type</t>
  </si>
  <si>
    <t xml:space="preserve">Priority</t>
  </si>
  <si>
    <t xml:space="preserve">Subject / Topic</t>
  </si>
  <si>
    <t xml:space="preserve">HEL-D001-PMO-PMO-MOB-INS-0001</t>
  </si>
  <si>
    <t xml:space="preserve">Day 001 08:00</t>
  </si>
  <si>
    <t xml:space="preserve">CH-02 (#12)</t>
  </si>
  <si>
    <t xml:space="preserve">ATLAS (PMO)</t>
  </si>
  <si>
    <t xml:space="preserve">ALL (PMO)</t>
  </si>
  <si>
    <t xml:space="preserve">MOB</t>
  </si>
  <si>
    <t xml:space="preserve">INS</t>
  </si>
  <si>
    <t xml:space="preserve">HIGH</t>
  </si>
  <si>
    <t xml:space="preserve">LNTP Project Kickoff Directive: Mobilization, MDR Submittals &amp; Long-Lead RFQ Release</t>
  </si>
  <si>
    <t xml:space="preserve">CLOSED</t>
  </si>
  <si>
    <t xml:space="preserve">HEL-D001-PLN-PMO-MOB-RPT-0002</t>
  </si>
  <si>
    <t xml:space="preserve">Day 001 17:00</t>
  </si>
  <si>
    <t xml:space="preserve">SIGMA (PLN)</t>
  </si>
  <si>
    <t xml:space="preserve">KRONOS (PLN)</t>
  </si>
  <si>
    <t xml:space="preserve">RPT</t>
  </si>
  <si>
    <t xml:space="preserve">DPR Day 001 Compilation &amp; Rev 0 Baseline S-Curve Verification (SPI 0.9965 / CPI 0.9462)</t>
  </si>
  <si>
    <t xml:space="preserve">HEL-D001-PMO-EXT-MOB-RPT-0003</t>
  </si>
  <si>
    <t xml:space="preserve">Day 001 18:00</t>
  </si>
  <si>
    <t xml:space="preserve">CH-01 (#11)</t>
  </si>
  <si>
    <t xml:space="preserve">DANESH (EXT)</t>
  </si>
  <si>
    <t xml:space="preserve">[PD BRIEF] Day 001 Executive Brief: LNTP Kickoff Complete, 64 Agents Active, Zero Blockers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</si>
</sst>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@"/>
    <numFmt numFmtId="167" formatCode="\$#,##0.00"/>
    <numFmt numFmtId="168" formatCode="0.0000"/>
    <numFmt numFmtId="169" formatCode="#,##0.00"/>
    <numFmt numFmtId="170" formatCode="0.0%"/>
    <numFmt numFmtId="171" formatCode="0.00%"/>
    <numFmt numFmtId="172" formatCode="#,##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E2E8F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0F172A"/>
      <name val="Calibri"/>
      <family val="0"/>
      <charset val="1"/>
    </font>
    <font>
      <i val="true"/>
      <sz val="8"/>
      <color rgb="FF47556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b val="true"/>
      <sz val="9"/>
      <color rgb="FF1E40A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991B1B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EFF6FF"/>
        <bgColor rgb="FFF1F5F9"/>
      </patternFill>
    </fill>
    <fill>
      <patternFill patternType="solid">
        <fgColor rgb="FFF8FAFC"/>
        <bgColor rgb="FFF9F9F9"/>
      </patternFill>
    </fill>
    <fill>
      <patternFill patternType="solid">
        <fgColor rgb="FFF1F5F9"/>
        <bgColor rgb="FFEFF6FF"/>
      </patternFill>
    </fill>
    <fill>
      <patternFill patternType="solid">
        <fgColor rgb="FFDCFCE7"/>
        <bgColor rgb="FFEFF6FF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FEE2E2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9F9F9"/>
      <rgbColor rgb="FFEFF6FF"/>
      <rgbColor rgb="FFF1F5F9"/>
      <rgbColor rgb="FFF8FAFC"/>
      <rgbColor rgb="FFFEE2E2"/>
      <rgbColor rgb="FF4F81BD"/>
      <rgbColor rgb="FF33CCCC"/>
      <rgbColor rgb="FF99CC00"/>
      <rgbColor rgb="FFFFCC00"/>
      <rgbColor rgb="FFFF9900"/>
      <rgbColor rgb="FFFF6600"/>
      <rgbColor rgb="FF475569"/>
      <rgbColor rgb="FF969696"/>
      <rgbColor rgb="FF1E40AF"/>
      <rgbColor rgb="FF339966"/>
      <rgbColor rgb="FF0F172A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HELIOS $85M BAC Budget by EPC Discipline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Executive_EVM_Dashboard!C36</c:f>
              <c:strCache>
                <c:ptCount val="1"/>
                <c:pt idx="0">
                  <c:v>Baseline Budget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Executive_EVM_Dashboard!$A$37:$A$40</c:f>
              <c:strCache>
                <c:ptCount val="4"/>
                <c:pt idx="0">
                  <c:v>Engineering</c:v>
                </c:pt>
                <c:pt idx="1">
                  <c:v>Procurement</c:v>
                </c:pt>
                <c:pt idx="2">
                  <c:v>Construction</c:v>
                </c:pt>
                <c:pt idx="3">
                  <c:v>T&amp;C</c:v>
                </c:pt>
              </c:strCache>
            </c:strRef>
          </c:cat>
          <c:val>
            <c:numRef>
              <c:f>Executive_EVM_Dashboard!$C$37:$C$40</c:f>
              <c:numCache>
                <c:formatCode>General</c:formatCode>
                <c:ptCount val="4"/>
                <c:pt idx="0">
                  <c:v>4250000</c:v>
                </c:pt>
                <c:pt idx="1">
                  <c:v>51000000</c:v>
                </c:pt>
                <c:pt idx="2">
                  <c:v>25500000</c:v>
                </c:pt>
                <c:pt idx="3">
                  <c:v>4250000</c:v>
                </c:pt>
              </c:numCache>
            </c:numRef>
          </c:val>
        </c:ser>
        <c:gapWidth val="150"/>
        <c:overlap val="0"/>
        <c:axId val="42690625"/>
        <c:axId val="58108841"/>
      </c:barChart>
      <c:catAx>
        <c:axId val="426906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EPC Discipline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8841"/>
        <c:crosses val="autoZero"/>
        <c:auto val="1"/>
        <c:lblAlgn val="ctr"/>
        <c:lblOffset val="100"/>
        <c:noMultiLvlLbl val="0"/>
      </c:catAx>
      <c:valAx>
        <c:axId val="58108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Budget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906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HELIOS 18-Month Baseline Planned Value S-Curve (Cumulative BCWS 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Baseline_S_Curve_18M!F4</c:f>
              <c:strCache>
                <c:ptCount val="1"/>
                <c:pt idx="0">
                  <c:v>Cumulative BCWS ($) [Auto]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Baseline_S_Curve_18M!$A$5:$A$22</c:f>
              <c:strCache>
                <c:ptCount val="18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</c:strCache>
            </c:strRef>
          </c:cat>
          <c:val>
            <c:numRef>
              <c:f>Baseline_S_Curve_18M!$F$5:$F$22</c:f>
              <c:numCache>
                <c:formatCode>General</c:formatCode>
                <c:ptCount val="18"/>
                <c:pt idx="0">
                  <c:v>1487500</c:v>
                </c:pt>
                <c:pt idx="1">
                  <c:v>3612500</c:v>
                </c:pt>
                <c:pt idx="2">
                  <c:v>7012500</c:v>
                </c:pt>
                <c:pt idx="3">
                  <c:v>11687500</c:v>
                </c:pt>
                <c:pt idx="4">
                  <c:v>17637500</c:v>
                </c:pt>
                <c:pt idx="5">
                  <c:v>26137500</c:v>
                </c:pt>
                <c:pt idx="6">
                  <c:v>35487500</c:v>
                </c:pt>
                <c:pt idx="7">
                  <c:v>44412500</c:v>
                </c:pt>
                <c:pt idx="8">
                  <c:v>52062500</c:v>
                </c:pt>
                <c:pt idx="9">
                  <c:v>58862500</c:v>
                </c:pt>
                <c:pt idx="10">
                  <c:v>64812500</c:v>
                </c:pt>
                <c:pt idx="11">
                  <c:v>69912500</c:v>
                </c:pt>
                <c:pt idx="12">
                  <c:v>74162500</c:v>
                </c:pt>
                <c:pt idx="13">
                  <c:v>77562500</c:v>
                </c:pt>
                <c:pt idx="14">
                  <c:v>80537500</c:v>
                </c:pt>
                <c:pt idx="15">
                  <c:v>82662500</c:v>
                </c:pt>
                <c:pt idx="16">
                  <c:v>84150000</c:v>
                </c:pt>
                <c:pt idx="17">
                  <c:v>85000000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47706"/>
        <c:axId val="66165929"/>
      </c:lineChart>
      <c:catAx>
        <c:axId val="48447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Simulation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65929"/>
        <c:crosses val="autoZero"/>
        <c:auto val="1"/>
        <c:lblAlgn val="ctr"/>
        <c:lblOffset val="100"/>
        <c:noMultiLvlLbl val="0"/>
      </c:catAx>
      <c:valAx>
        <c:axId val="66165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Planned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47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35</xdr:row>
      <xdr:rowOff>0</xdr:rowOff>
    </xdr:from>
    <xdr:to>
      <xdr:col>10</xdr:col>
      <xdr:colOff>1037160</xdr:colOff>
      <xdr:row>50</xdr:row>
      <xdr:rowOff>39240</xdr:rowOff>
    </xdr:to>
    <xdr:graphicFrame>
      <xdr:nvGraphicFramePr>
        <xdr:cNvPr id="0" name="Chart 1"/>
        <xdr:cNvGraphicFramePr/>
      </xdr:nvGraphicFramePr>
      <xdr:xfrm>
        <a:off x="10361160" y="8610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5</xdr:col>
      <xdr:colOff>25200</xdr:colOff>
      <xdr:row>43</xdr:row>
      <xdr:rowOff>170640</xdr:rowOff>
    </xdr:to>
    <xdr:graphicFrame>
      <xdr:nvGraphicFramePr>
        <xdr:cNvPr id="1" name="Chart 1"/>
        <xdr:cNvGraphicFramePr/>
      </xdr:nvGraphicFramePr>
      <xdr:xfrm>
        <a:off x="0" y="62388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23"/>
    <col collapsed="false" customWidth="true" hidden="false" outlineLevel="0" max="5" min="4" style="0" width="25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19"/>
    <col collapsed="false" customWidth="true" hidden="false" outlineLevel="0" max="11" min="11" style="0" width="26"/>
    <col collapsed="false" customWidth="true" hidden="false" outlineLevel="0" max="12" min="12" style="0" width="19"/>
    <col collapsed="false" customWidth="true" hidden="false" outlineLevel="0" max="13" min="13" style="0" width="26"/>
    <col collapsed="false" customWidth="true" hidden="false" outlineLevel="0" max="14" min="14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  <c r="M4" s="3" t="s">
        <v>8</v>
      </c>
      <c r="N4" s="3"/>
    </row>
    <row r="5" customFormat="false" ht="25.5" hidden="false" customHeight="true" outlineLevel="0" collapsed="false">
      <c r="A5" s="4" t="n">
        <f aca="false">SUM(F10:F32)</f>
        <v>85000000</v>
      </c>
      <c r="B5" s="4"/>
      <c r="C5" s="5" t="s">
        <v>9</v>
      </c>
      <c r="D5" s="5"/>
      <c r="E5" s="6" t="n">
        <f aca="false">SUM(H10:H32)</f>
        <v>53125</v>
      </c>
      <c r="F5" s="6"/>
      <c r="G5" s="6" t="n">
        <f aca="false">SUM(K10:K32)</f>
        <v>52878.75</v>
      </c>
      <c r="H5" s="6"/>
      <c r="I5" s="6" t="n">
        <f aca="false">SUM(L10:L32)</f>
        <v>55925</v>
      </c>
      <c r="J5" s="6"/>
      <c r="K5" s="7" t="n">
        <f aca="false">IF(E5&gt;0,G5/E5,1)</f>
        <v>0.995364705882353</v>
      </c>
      <c r="L5" s="7"/>
      <c r="M5" s="7" t="n">
        <f aca="false">IF(I5&gt;0,G5/I5,1)</f>
        <v>0.945529727313366</v>
      </c>
      <c r="N5" s="7"/>
    </row>
    <row r="6" customFormat="false" ht="15.75" hidden="false" customHeight="true" outlineLevel="0" collapsed="false">
      <c r="A6" s="8" t="s">
        <v>10</v>
      </c>
      <c r="B6" s="8"/>
      <c r="C6" s="8" t="s">
        <v>11</v>
      </c>
      <c r="D6" s="8"/>
      <c r="E6" s="8" t="s">
        <v>12</v>
      </c>
      <c r="F6" s="8"/>
      <c r="G6" s="8" t="s">
        <v>13</v>
      </c>
      <c r="H6" s="8"/>
      <c r="I6" s="8" t="s">
        <v>14</v>
      </c>
      <c r="J6" s="8"/>
      <c r="K6" s="8" t="s">
        <v>15</v>
      </c>
      <c r="L6" s="8"/>
      <c r="M6" s="8" t="s">
        <v>15</v>
      </c>
      <c r="N6" s="8"/>
    </row>
    <row r="9" customFormat="false" ht="24" hidden="false" customHeight="true" outlineLevel="0" collapsed="false">
      <c r="A9" s="9" t="s">
        <v>16</v>
      </c>
      <c r="B9" s="10" t="s">
        <v>17</v>
      </c>
      <c r="C9" s="9" t="s">
        <v>18</v>
      </c>
      <c r="D9" s="9" t="s">
        <v>19</v>
      </c>
      <c r="E9" s="9" t="s">
        <v>20</v>
      </c>
      <c r="F9" s="10" t="s">
        <v>21</v>
      </c>
      <c r="G9" s="10" t="s">
        <v>22</v>
      </c>
      <c r="H9" s="10" t="s">
        <v>23</v>
      </c>
      <c r="I9" s="10" t="s">
        <v>24</v>
      </c>
      <c r="J9" s="10" t="s">
        <v>25</v>
      </c>
      <c r="K9" s="10" t="s">
        <v>26</v>
      </c>
      <c r="L9" s="10" t="s">
        <v>27</v>
      </c>
      <c r="M9" s="10" t="s">
        <v>28</v>
      </c>
      <c r="N9" s="9" t="s">
        <v>29</v>
      </c>
    </row>
    <row r="10" customFormat="false" ht="19.5" hidden="false" customHeight="true" outlineLevel="0" collapsed="false">
      <c r="A10" s="11" t="s">
        <v>30</v>
      </c>
      <c r="B10" s="12" t="s">
        <v>31</v>
      </c>
      <c r="C10" s="13" t="s">
        <v>32</v>
      </c>
      <c r="D10" s="13" t="s">
        <v>33</v>
      </c>
      <c r="E10" s="13" t="s">
        <v>34</v>
      </c>
      <c r="F10" s="14" t="n">
        <v>1050000</v>
      </c>
      <c r="G10" s="15" t="n">
        <v>100</v>
      </c>
      <c r="H10" s="14" t="n">
        <v>8925</v>
      </c>
      <c r="I10" s="15" t="n">
        <v>0.85</v>
      </c>
      <c r="J10" s="15" t="n">
        <v>0.8075</v>
      </c>
      <c r="K10" s="14" t="n">
        <f aca="false">ROUND(F10*(J10/G10),2)</f>
        <v>8478.75</v>
      </c>
      <c r="L10" s="14" t="n">
        <v>9100</v>
      </c>
      <c r="M10" s="14" t="n">
        <f aca="false">K10-L10</f>
        <v>-621.25</v>
      </c>
      <c r="N10" s="16" t="s">
        <v>35</v>
      </c>
    </row>
    <row r="11" customFormat="false" ht="19.5" hidden="false" customHeight="true" outlineLevel="0" collapsed="false">
      <c r="A11" s="17" t="s">
        <v>36</v>
      </c>
      <c r="B11" s="18" t="s">
        <v>37</v>
      </c>
      <c r="C11" s="19" t="s">
        <v>32</v>
      </c>
      <c r="D11" s="19" t="s">
        <v>38</v>
      </c>
      <c r="E11" s="19" t="s">
        <v>34</v>
      </c>
      <c r="F11" s="20" t="n">
        <v>1600000</v>
      </c>
      <c r="G11" s="21" t="n">
        <v>100</v>
      </c>
      <c r="H11" s="20" t="n">
        <v>12000</v>
      </c>
      <c r="I11" s="21" t="n">
        <v>0.75</v>
      </c>
      <c r="J11" s="21" t="n">
        <v>0.7125</v>
      </c>
      <c r="K11" s="20" t="n">
        <f aca="false">ROUND(F11*(J11/G11),2)</f>
        <v>11400</v>
      </c>
      <c r="L11" s="20" t="n">
        <v>12300</v>
      </c>
      <c r="M11" s="20" t="n">
        <f aca="false">K11-L11</f>
        <v>-900</v>
      </c>
      <c r="N11" s="16" t="s">
        <v>35</v>
      </c>
    </row>
    <row r="12" customFormat="false" ht="19.5" hidden="false" customHeight="true" outlineLevel="0" collapsed="false">
      <c r="A12" s="11" t="s">
        <v>39</v>
      </c>
      <c r="B12" s="12" t="s">
        <v>40</v>
      </c>
      <c r="C12" s="13" t="s">
        <v>32</v>
      </c>
      <c r="D12" s="13" t="s">
        <v>41</v>
      </c>
      <c r="E12" s="13" t="s">
        <v>34</v>
      </c>
      <c r="F12" s="14" t="n">
        <v>800000</v>
      </c>
      <c r="G12" s="15" t="n">
        <v>100</v>
      </c>
      <c r="H12" s="14" t="n">
        <v>5600</v>
      </c>
      <c r="I12" s="15" t="n">
        <v>0.7</v>
      </c>
      <c r="J12" s="15" t="n">
        <v>0.665</v>
      </c>
      <c r="K12" s="14" t="n">
        <f aca="false">ROUND(F12*(J12/G12),2)</f>
        <v>5320</v>
      </c>
      <c r="L12" s="14" t="n">
        <v>5750</v>
      </c>
      <c r="M12" s="14" t="n">
        <f aca="false">K12-L12</f>
        <v>-430</v>
      </c>
      <c r="N12" s="16" t="s">
        <v>35</v>
      </c>
    </row>
    <row r="13" customFormat="false" ht="19.5" hidden="false" customHeight="true" outlineLevel="0" collapsed="false">
      <c r="A13" s="17" t="s">
        <v>42</v>
      </c>
      <c r="B13" s="18" t="s">
        <v>43</v>
      </c>
      <c r="C13" s="19" t="s">
        <v>32</v>
      </c>
      <c r="D13" s="19" t="s">
        <v>44</v>
      </c>
      <c r="E13" s="19" t="s">
        <v>34</v>
      </c>
      <c r="F13" s="20" t="n">
        <v>800000</v>
      </c>
      <c r="G13" s="21" t="n">
        <v>100</v>
      </c>
      <c r="H13" s="20" t="n">
        <v>6400</v>
      </c>
      <c r="I13" s="21" t="n">
        <v>0.8</v>
      </c>
      <c r="J13" s="21" t="n">
        <v>0.76</v>
      </c>
      <c r="K13" s="20" t="n">
        <f aca="false">ROUND(F13*(J13/G13),2)</f>
        <v>6080</v>
      </c>
      <c r="L13" s="20" t="n">
        <v>6550</v>
      </c>
      <c r="M13" s="20" t="n">
        <f aca="false">K13-L13</f>
        <v>-470</v>
      </c>
      <c r="N13" s="16" t="s">
        <v>35</v>
      </c>
    </row>
    <row r="14" customFormat="false" ht="19.5" hidden="false" customHeight="true" outlineLevel="0" collapsed="false">
      <c r="A14" s="11" t="s">
        <v>45</v>
      </c>
      <c r="B14" s="12" t="s">
        <v>46</v>
      </c>
      <c r="C14" s="13" t="s">
        <v>47</v>
      </c>
      <c r="D14" s="13" t="s">
        <v>48</v>
      </c>
      <c r="E14" s="13" t="s">
        <v>49</v>
      </c>
      <c r="F14" s="14" t="n">
        <v>1540000</v>
      </c>
      <c r="G14" s="15" t="n">
        <v>15400</v>
      </c>
      <c r="H14" s="14" t="n">
        <v>0</v>
      </c>
      <c r="I14" s="15" t="n">
        <v>0</v>
      </c>
      <c r="J14" s="15" t="n">
        <v>0</v>
      </c>
      <c r="K14" s="14" t="n">
        <f aca="false">ROUND(F14*(J14/G14),2)</f>
        <v>0</v>
      </c>
      <c r="L14" s="14" t="n">
        <v>0</v>
      </c>
      <c r="M14" s="14" t="n">
        <f aca="false">K14-L14</f>
        <v>0</v>
      </c>
      <c r="N14" s="22" t="s">
        <v>50</v>
      </c>
    </row>
    <row r="15" customFormat="false" ht="19.5" hidden="false" customHeight="true" outlineLevel="0" collapsed="false">
      <c r="A15" s="17" t="s">
        <v>51</v>
      </c>
      <c r="B15" s="18" t="s">
        <v>52</v>
      </c>
      <c r="C15" s="19" t="s">
        <v>47</v>
      </c>
      <c r="D15" s="19" t="s">
        <v>53</v>
      </c>
      <c r="E15" s="19" t="s">
        <v>54</v>
      </c>
      <c r="F15" s="20" t="n">
        <v>8500000</v>
      </c>
      <c r="G15" s="21" t="n">
        <v>5100</v>
      </c>
      <c r="H15" s="20" t="n">
        <v>0</v>
      </c>
      <c r="I15" s="21" t="n">
        <v>0</v>
      </c>
      <c r="J15" s="21" t="n">
        <v>0</v>
      </c>
      <c r="K15" s="20" t="n">
        <f aca="false">ROUND(F15*(J15/G15),2)</f>
        <v>0</v>
      </c>
      <c r="L15" s="20" t="n">
        <v>0</v>
      </c>
      <c r="M15" s="20" t="n">
        <f aca="false">K15-L15</f>
        <v>0</v>
      </c>
      <c r="N15" s="22" t="s">
        <v>50</v>
      </c>
    </row>
    <row r="16" customFormat="false" ht="19.5" hidden="false" customHeight="true" outlineLevel="0" collapsed="false">
      <c r="A16" s="11" t="s">
        <v>55</v>
      </c>
      <c r="B16" s="12" t="s">
        <v>56</v>
      </c>
      <c r="C16" s="13" t="s">
        <v>47</v>
      </c>
      <c r="D16" s="13" t="s">
        <v>53</v>
      </c>
      <c r="E16" s="13" t="s">
        <v>57</v>
      </c>
      <c r="F16" s="14" t="n">
        <v>22000000</v>
      </c>
      <c r="G16" s="15" t="n">
        <v>172800</v>
      </c>
      <c r="H16" s="14" t="n">
        <v>0</v>
      </c>
      <c r="I16" s="15" t="n">
        <v>0</v>
      </c>
      <c r="J16" s="15" t="n">
        <v>0</v>
      </c>
      <c r="K16" s="14" t="n">
        <f aca="false">ROUND(F16*(J16/G16),2)</f>
        <v>0</v>
      </c>
      <c r="L16" s="14" t="n">
        <v>0</v>
      </c>
      <c r="M16" s="14" t="n">
        <f aca="false">K16-L16</f>
        <v>0</v>
      </c>
      <c r="N16" s="22" t="s">
        <v>50</v>
      </c>
    </row>
    <row r="17" customFormat="false" ht="19.5" hidden="false" customHeight="true" outlineLevel="0" collapsed="false">
      <c r="A17" s="17" t="s">
        <v>58</v>
      </c>
      <c r="B17" s="18" t="s">
        <v>59</v>
      </c>
      <c r="C17" s="19" t="s">
        <v>47</v>
      </c>
      <c r="D17" s="19" t="s">
        <v>53</v>
      </c>
      <c r="E17" s="19" t="s">
        <v>60</v>
      </c>
      <c r="F17" s="20" t="n">
        <v>5500000</v>
      </c>
      <c r="G17" s="21" t="n">
        <v>25</v>
      </c>
      <c r="H17" s="20" t="n">
        <v>0</v>
      </c>
      <c r="I17" s="21" t="n">
        <v>0</v>
      </c>
      <c r="J17" s="21" t="n">
        <v>0</v>
      </c>
      <c r="K17" s="20" t="n">
        <f aca="false">ROUND(F17*(J17/G17),2)</f>
        <v>0</v>
      </c>
      <c r="L17" s="20" t="n">
        <v>0</v>
      </c>
      <c r="M17" s="20" t="n">
        <f aca="false">K17-L17</f>
        <v>0</v>
      </c>
      <c r="N17" s="23" t="s">
        <v>61</v>
      </c>
    </row>
    <row r="18" customFormat="false" ht="19.5" hidden="false" customHeight="true" outlineLevel="0" collapsed="false">
      <c r="A18" s="11" t="s">
        <v>62</v>
      </c>
      <c r="B18" s="12" t="s">
        <v>63</v>
      </c>
      <c r="C18" s="13" t="s">
        <v>47</v>
      </c>
      <c r="D18" s="13" t="s">
        <v>53</v>
      </c>
      <c r="E18" s="13" t="s">
        <v>64</v>
      </c>
      <c r="F18" s="14" t="n">
        <v>1800000</v>
      </c>
      <c r="G18" s="15" t="n">
        <v>1</v>
      </c>
      <c r="H18" s="14" t="n">
        <v>0</v>
      </c>
      <c r="I18" s="15" t="n">
        <v>0</v>
      </c>
      <c r="J18" s="15" t="n">
        <v>0</v>
      </c>
      <c r="K18" s="14" t="n">
        <f aca="false">ROUND(F18*(J18/G18),2)</f>
        <v>0</v>
      </c>
      <c r="L18" s="14" t="n">
        <v>0</v>
      </c>
      <c r="M18" s="14" t="n">
        <f aca="false">K18-L18</f>
        <v>0</v>
      </c>
      <c r="N18" s="22" t="s">
        <v>65</v>
      </c>
    </row>
    <row r="19" customFormat="false" ht="19.5" hidden="false" customHeight="true" outlineLevel="0" collapsed="false">
      <c r="A19" s="17" t="s">
        <v>66</v>
      </c>
      <c r="B19" s="18" t="s">
        <v>67</v>
      </c>
      <c r="C19" s="19" t="s">
        <v>47</v>
      </c>
      <c r="D19" s="19" t="s">
        <v>53</v>
      </c>
      <c r="E19" s="19" t="s">
        <v>68</v>
      </c>
      <c r="F19" s="20" t="n">
        <v>2200000</v>
      </c>
      <c r="G19" s="21" t="n">
        <v>1</v>
      </c>
      <c r="H19" s="20" t="n">
        <v>0</v>
      </c>
      <c r="I19" s="21" t="n">
        <v>0</v>
      </c>
      <c r="J19" s="21" t="n">
        <v>0</v>
      </c>
      <c r="K19" s="20" t="n">
        <f aca="false">ROUND(F19*(J19/G19),2)</f>
        <v>0</v>
      </c>
      <c r="L19" s="20" t="n">
        <v>0</v>
      </c>
      <c r="M19" s="20" t="n">
        <f aca="false">K19-L19</f>
        <v>0</v>
      </c>
      <c r="N19" s="22" t="s">
        <v>65</v>
      </c>
    </row>
    <row r="20" customFormat="false" ht="19.5" hidden="false" customHeight="true" outlineLevel="0" collapsed="false">
      <c r="A20" s="11" t="s">
        <v>69</v>
      </c>
      <c r="B20" s="12" t="s">
        <v>70</v>
      </c>
      <c r="C20" s="13" t="s">
        <v>47</v>
      </c>
      <c r="D20" s="13" t="s">
        <v>48</v>
      </c>
      <c r="E20" s="13" t="s">
        <v>71</v>
      </c>
      <c r="F20" s="14" t="n">
        <v>3260000</v>
      </c>
      <c r="G20" s="15" t="n">
        <v>1300000</v>
      </c>
      <c r="H20" s="14" t="n">
        <v>0</v>
      </c>
      <c r="I20" s="15" t="n">
        <v>0</v>
      </c>
      <c r="J20" s="15" t="n">
        <v>0</v>
      </c>
      <c r="K20" s="14" t="n">
        <f aca="false">ROUND(F20*(J20/G20),2)</f>
        <v>0</v>
      </c>
      <c r="L20" s="14" t="n">
        <v>0</v>
      </c>
      <c r="M20" s="14" t="n">
        <f aca="false">K20-L20</f>
        <v>0</v>
      </c>
      <c r="N20" s="23" t="s">
        <v>72</v>
      </c>
    </row>
    <row r="21" customFormat="false" ht="19.5" hidden="false" customHeight="true" outlineLevel="0" collapsed="false">
      <c r="A21" s="17" t="s">
        <v>73</v>
      </c>
      <c r="B21" s="18" t="s">
        <v>74</v>
      </c>
      <c r="C21" s="19" t="s">
        <v>47</v>
      </c>
      <c r="D21" s="19" t="s">
        <v>48</v>
      </c>
      <c r="E21" s="19" t="s">
        <v>71</v>
      </c>
      <c r="F21" s="20" t="n">
        <v>1200000</v>
      </c>
      <c r="G21" s="21" t="n">
        <v>30000</v>
      </c>
      <c r="H21" s="20" t="n">
        <v>0</v>
      </c>
      <c r="I21" s="21" t="n">
        <v>0</v>
      </c>
      <c r="J21" s="21" t="n">
        <v>0</v>
      </c>
      <c r="K21" s="20" t="n">
        <f aca="false">ROUND(F21*(J21/G21),2)</f>
        <v>0</v>
      </c>
      <c r="L21" s="20" t="n">
        <v>0</v>
      </c>
      <c r="M21" s="20" t="n">
        <f aca="false">K21-L21</f>
        <v>0</v>
      </c>
      <c r="N21" s="23" t="s">
        <v>72</v>
      </c>
    </row>
    <row r="22" customFormat="false" ht="19.5" hidden="false" customHeight="true" outlineLevel="0" collapsed="false">
      <c r="A22" s="11" t="s">
        <v>75</v>
      </c>
      <c r="B22" s="12" t="s">
        <v>76</v>
      </c>
      <c r="C22" s="13" t="s">
        <v>47</v>
      </c>
      <c r="D22" s="13" t="s">
        <v>48</v>
      </c>
      <c r="E22" s="13" t="s">
        <v>34</v>
      </c>
      <c r="F22" s="14" t="n">
        <v>5000000</v>
      </c>
      <c r="G22" s="15" t="n">
        <v>100</v>
      </c>
      <c r="H22" s="14" t="n">
        <v>0</v>
      </c>
      <c r="I22" s="15" t="n">
        <v>0</v>
      </c>
      <c r="J22" s="15" t="n">
        <v>0</v>
      </c>
      <c r="K22" s="14" t="n">
        <f aca="false">ROUND(F22*(J22/G22),2)</f>
        <v>0</v>
      </c>
      <c r="L22" s="14" t="n">
        <v>0</v>
      </c>
      <c r="M22" s="14" t="n">
        <f aca="false">K22-L22</f>
        <v>0</v>
      </c>
      <c r="N22" s="23" t="s">
        <v>72</v>
      </c>
    </row>
    <row r="23" customFormat="false" ht="19.5" hidden="false" customHeight="true" outlineLevel="0" collapsed="false">
      <c r="A23" s="17" t="s">
        <v>77</v>
      </c>
      <c r="B23" s="18" t="s">
        <v>78</v>
      </c>
      <c r="C23" s="19" t="s">
        <v>79</v>
      </c>
      <c r="D23" s="19" t="s">
        <v>80</v>
      </c>
      <c r="E23" s="19" t="s">
        <v>34</v>
      </c>
      <c r="F23" s="20" t="n">
        <v>1500000</v>
      </c>
      <c r="G23" s="21" t="n">
        <v>100</v>
      </c>
      <c r="H23" s="20" t="n">
        <v>20200</v>
      </c>
      <c r="I23" s="21" t="n">
        <v>1.51</v>
      </c>
      <c r="J23" s="21" t="n">
        <v>1.44</v>
      </c>
      <c r="K23" s="20" t="n">
        <f aca="false">ROUND(F23*(J23/G23),2)</f>
        <v>21600</v>
      </c>
      <c r="L23" s="20" t="n">
        <v>22225</v>
      </c>
      <c r="M23" s="20" t="n">
        <f aca="false">K23-L23</f>
        <v>-625</v>
      </c>
      <c r="N23" s="16" t="s">
        <v>35</v>
      </c>
    </row>
    <row r="24" customFormat="false" ht="19.5" hidden="false" customHeight="true" outlineLevel="0" collapsed="false">
      <c r="A24" s="11" t="s">
        <v>81</v>
      </c>
      <c r="B24" s="12" t="s">
        <v>82</v>
      </c>
      <c r="C24" s="13" t="s">
        <v>79</v>
      </c>
      <c r="D24" s="13" t="s">
        <v>80</v>
      </c>
      <c r="E24" s="13" t="s">
        <v>34</v>
      </c>
      <c r="F24" s="14" t="n">
        <v>2500000</v>
      </c>
      <c r="G24" s="15" t="n">
        <v>100</v>
      </c>
      <c r="H24" s="14" t="n">
        <v>0</v>
      </c>
      <c r="I24" s="15" t="n">
        <v>0</v>
      </c>
      <c r="J24" s="15" t="n">
        <v>0</v>
      </c>
      <c r="K24" s="14" t="n">
        <f aca="false">ROUND(F24*(J24/G24),2)</f>
        <v>0</v>
      </c>
      <c r="L24" s="14" t="n">
        <v>0</v>
      </c>
      <c r="M24" s="14" t="n">
        <f aca="false">K24-L24</f>
        <v>0</v>
      </c>
      <c r="N24" s="23" t="s">
        <v>83</v>
      </c>
    </row>
    <row r="25" customFormat="false" ht="19.5" hidden="false" customHeight="true" outlineLevel="0" collapsed="false">
      <c r="A25" s="17" t="s">
        <v>84</v>
      </c>
      <c r="B25" s="18" t="s">
        <v>85</v>
      </c>
      <c r="C25" s="19" t="s">
        <v>79</v>
      </c>
      <c r="D25" s="19" t="s">
        <v>80</v>
      </c>
      <c r="E25" s="19" t="s">
        <v>49</v>
      </c>
      <c r="F25" s="20" t="n">
        <v>2200000</v>
      </c>
      <c r="G25" s="21" t="n">
        <v>15400</v>
      </c>
      <c r="H25" s="20" t="n">
        <v>0</v>
      </c>
      <c r="I25" s="21" t="n">
        <v>0</v>
      </c>
      <c r="J25" s="21" t="n">
        <v>0</v>
      </c>
      <c r="K25" s="20" t="n">
        <f aca="false">ROUND(F25*(J25/G25),2)</f>
        <v>0</v>
      </c>
      <c r="L25" s="20" t="n">
        <v>0</v>
      </c>
      <c r="M25" s="20" t="n">
        <f aca="false">K25-L25</f>
        <v>0</v>
      </c>
      <c r="N25" s="23" t="s">
        <v>86</v>
      </c>
    </row>
    <row r="26" customFormat="false" ht="19.5" hidden="false" customHeight="true" outlineLevel="0" collapsed="false">
      <c r="A26" s="11" t="s">
        <v>87</v>
      </c>
      <c r="B26" s="12" t="s">
        <v>88</v>
      </c>
      <c r="C26" s="13" t="s">
        <v>79</v>
      </c>
      <c r="D26" s="13" t="s">
        <v>89</v>
      </c>
      <c r="E26" s="13" t="s">
        <v>54</v>
      </c>
      <c r="F26" s="14" t="n">
        <v>4500000</v>
      </c>
      <c r="G26" s="15" t="n">
        <v>5100</v>
      </c>
      <c r="H26" s="14" t="n">
        <v>0</v>
      </c>
      <c r="I26" s="15" t="n">
        <v>0</v>
      </c>
      <c r="J26" s="15" t="n">
        <v>0</v>
      </c>
      <c r="K26" s="14" t="n">
        <f aca="false">ROUND(F26*(J26/G26),2)</f>
        <v>0</v>
      </c>
      <c r="L26" s="14" t="n">
        <v>0</v>
      </c>
      <c r="M26" s="14" t="n">
        <f aca="false">K26-L26</f>
        <v>0</v>
      </c>
      <c r="N26" s="23" t="s">
        <v>90</v>
      </c>
    </row>
    <row r="27" customFormat="false" ht="19.5" hidden="false" customHeight="true" outlineLevel="0" collapsed="false">
      <c r="A27" s="17" t="s">
        <v>91</v>
      </c>
      <c r="B27" s="18" t="s">
        <v>92</v>
      </c>
      <c r="C27" s="19" t="s">
        <v>79</v>
      </c>
      <c r="D27" s="19" t="s">
        <v>89</v>
      </c>
      <c r="E27" s="19" t="s">
        <v>57</v>
      </c>
      <c r="F27" s="20" t="n">
        <v>4800000</v>
      </c>
      <c r="G27" s="21" t="n">
        <v>172800</v>
      </c>
      <c r="H27" s="20" t="n">
        <v>0</v>
      </c>
      <c r="I27" s="21" t="n">
        <v>0</v>
      </c>
      <c r="J27" s="21" t="n">
        <v>0</v>
      </c>
      <c r="K27" s="20" t="n">
        <f aca="false">ROUND(F27*(J27/G27),2)</f>
        <v>0</v>
      </c>
      <c r="L27" s="20" t="n">
        <v>0</v>
      </c>
      <c r="M27" s="20" t="n">
        <f aca="false">K27-L27</f>
        <v>0</v>
      </c>
      <c r="N27" s="23" t="s">
        <v>93</v>
      </c>
    </row>
    <row r="28" customFormat="false" ht="19.5" hidden="false" customHeight="true" outlineLevel="0" collapsed="false">
      <c r="A28" s="11" t="s">
        <v>94</v>
      </c>
      <c r="B28" s="12" t="s">
        <v>95</v>
      </c>
      <c r="C28" s="13" t="s">
        <v>79</v>
      </c>
      <c r="D28" s="13" t="s">
        <v>96</v>
      </c>
      <c r="E28" s="13" t="s">
        <v>71</v>
      </c>
      <c r="F28" s="14" t="n">
        <v>3000000</v>
      </c>
      <c r="G28" s="15" t="n">
        <v>1300000</v>
      </c>
      <c r="H28" s="14" t="n">
        <v>0</v>
      </c>
      <c r="I28" s="15" t="n">
        <v>0</v>
      </c>
      <c r="J28" s="15" t="n">
        <v>0</v>
      </c>
      <c r="K28" s="14" t="n">
        <f aca="false">ROUND(F28*(J28/G28),2)</f>
        <v>0</v>
      </c>
      <c r="L28" s="14" t="n">
        <v>0</v>
      </c>
      <c r="M28" s="14" t="n">
        <f aca="false">K28-L28</f>
        <v>0</v>
      </c>
      <c r="N28" s="23" t="s">
        <v>93</v>
      </c>
    </row>
    <row r="29" customFormat="false" ht="19.5" hidden="false" customHeight="true" outlineLevel="0" collapsed="false">
      <c r="A29" s="17" t="s">
        <v>97</v>
      </c>
      <c r="B29" s="18" t="s">
        <v>98</v>
      </c>
      <c r="C29" s="19" t="s">
        <v>79</v>
      </c>
      <c r="D29" s="19" t="s">
        <v>99</v>
      </c>
      <c r="E29" s="19" t="s">
        <v>71</v>
      </c>
      <c r="F29" s="20" t="n">
        <v>2000000</v>
      </c>
      <c r="G29" s="21" t="n">
        <v>30000</v>
      </c>
      <c r="H29" s="20" t="n">
        <v>0</v>
      </c>
      <c r="I29" s="21" t="n">
        <v>0</v>
      </c>
      <c r="J29" s="21" t="n">
        <v>0</v>
      </c>
      <c r="K29" s="20" t="n">
        <f aca="false">ROUND(F29*(J29/G29),2)</f>
        <v>0</v>
      </c>
      <c r="L29" s="20" t="n">
        <v>0</v>
      </c>
      <c r="M29" s="20" t="n">
        <f aca="false">K29-L29</f>
        <v>0</v>
      </c>
      <c r="N29" s="23" t="s">
        <v>100</v>
      </c>
    </row>
    <row r="30" customFormat="false" ht="19.5" hidden="false" customHeight="true" outlineLevel="0" collapsed="false">
      <c r="A30" s="11" t="s">
        <v>101</v>
      </c>
      <c r="B30" s="12" t="s">
        <v>102</v>
      </c>
      <c r="C30" s="13" t="s">
        <v>79</v>
      </c>
      <c r="D30" s="13" t="s">
        <v>103</v>
      </c>
      <c r="E30" s="13" t="s">
        <v>104</v>
      </c>
      <c r="F30" s="14" t="n">
        <v>1800000</v>
      </c>
      <c r="G30" s="15" t="n">
        <v>3500</v>
      </c>
      <c r="H30" s="14" t="n">
        <v>0</v>
      </c>
      <c r="I30" s="15" t="n">
        <v>0</v>
      </c>
      <c r="J30" s="15" t="n">
        <v>0</v>
      </c>
      <c r="K30" s="14" t="n">
        <f aca="false">ROUND(F30*(J30/G30),2)</f>
        <v>0</v>
      </c>
      <c r="L30" s="14" t="n">
        <v>0</v>
      </c>
      <c r="M30" s="14" t="n">
        <f aca="false">K30-L30</f>
        <v>0</v>
      </c>
      <c r="N30" s="23" t="s">
        <v>105</v>
      </c>
    </row>
    <row r="31" customFormat="false" ht="19.5" hidden="false" customHeight="true" outlineLevel="0" collapsed="false">
      <c r="A31" s="17" t="s">
        <v>106</v>
      </c>
      <c r="B31" s="18" t="s">
        <v>107</v>
      </c>
      <c r="C31" s="19" t="s">
        <v>79</v>
      </c>
      <c r="D31" s="19" t="s">
        <v>108</v>
      </c>
      <c r="E31" s="19" t="s">
        <v>34</v>
      </c>
      <c r="F31" s="20" t="n">
        <v>3200000</v>
      </c>
      <c r="G31" s="21" t="n">
        <v>100</v>
      </c>
      <c r="H31" s="20" t="n">
        <v>0</v>
      </c>
      <c r="I31" s="21" t="n">
        <v>0</v>
      </c>
      <c r="J31" s="21" t="n">
        <v>0</v>
      </c>
      <c r="K31" s="20" t="n">
        <f aca="false">ROUND(F31*(J31/G31),2)</f>
        <v>0</v>
      </c>
      <c r="L31" s="20" t="n">
        <v>0</v>
      </c>
      <c r="M31" s="20" t="n">
        <f aca="false">K31-L31</f>
        <v>0</v>
      </c>
      <c r="N31" s="23" t="s">
        <v>109</v>
      </c>
    </row>
    <row r="32" customFormat="false" ht="19.5" hidden="false" customHeight="true" outlineLevel="0" collapsed="false">
      <c r="A32" s="11" t="s">
        <v>110</v>
      </c>
      <c r="B32" s="12" t="s">
        <v>111</v>
      </c>
      <c r="C32" s="13" t="s">
        <v>112</v>
      </c>
      <c r="D32" s="13" t="s">
        <v>113</v>
      </c>
      <c r="E32" s="13" t="s">
        <v>34</v>
      </c>
      <c r="F32" s="14" t="n">
        <v>4250000</v>
      </c>
      <c r="G32" s="15" t="n">
        <v>100</v>
      </c>
      <c r="H32" s="14" t="n">
        <v>0</v>
      </c>
      <c r="I32" s="15" t="n">
        <v>0</v>
      </c>
      <c r="J32" s="15" t="n">
        <v>0</v>
      </c>
      <c r="K32" s="14" t="n">
        <f aca="false">ROUND(F32*(J32/G32),2)</f>
        <v>0</v>
      </c>
      <c r="L32" s="14" t="n">
        <v>0</v>
      </c>
      <c r="M32" s="14" t="n">
        <f aca="false">K32-L32</f>
        <v>0</v>
      </c>
      <c r="N32" s="23" t="s">
        <v>114</v>
      </c>
    </row>
    <row r="33" customFormat="false" ht="24" hidden="false" customHeight="true" outlineLevel="0" collapsed="false">
      <c r="A33" s="24" t="s">
        <v>115</v>
      </c>
      <c r="B33" s="25" t="s">
        <v>116</v>
      </c>
      <c r="C33" s="24" t="s">
        <v>117</v>
      </c>
      <c r="D33" s="24" t="s">
        <v>118</v>
      </c>
      <c r="E33" s="24" t="s">
        <v>119</v>
      </c>
      <c r="F33" s="26" t="n">
        <f aca="false">SUM(F10:F32)</f>
        <v>85000000</v>
      </c>
      <c r="G33" s="27"/>
      <c r="H33" s="26" t="n">
        <f aca="false">SUM(H10:H32)</f>
        <v>53125</v>
      </c>
      <c r="I33" s="27"/>
      <c r="J33" s="27"/>
      <c r="K33" s="26" t="n">
        <f aca="false">SUM(K10:K32)</f>
        <v>52878.75</v>
      </c>
      <c r="L33" s="26" t="n">
        <f aca="false">SUM(L10:L32)</f>
        <v>55925</v>
      </c>
      <c r="M33" s="26" t="n">
        <f aca="false">SUM(M10:M32)</f>
        <v>-3046.25</v>
      </c>
      <c r="N33" s="24" t="s">
        <v>120</v>
      </c>
    </row>
    <row r="36" customFormat="false" ht="24" hidden="false" customHeight="true" outlineLevel="0" collapsed="false">
      <c r="A36" s="10" t="s">
        <v>18</v>
      </c>
      <c r="B36" s="10" t="s">
        <v>121</v>
      </c>
      <c r="C36" s="10" t="s">
        <v>122</v>
      </c>
      <c r="D36" s="10" t="s">
        <v>123</v>
      </c>
      <c r="E36" s="10" t="s">
        <v>124</v>
      </c>
    </row>
    <row r="37" customFormat="false" ht="19.5" hidden="false" customHeight="true" outlineLevel="0" collapsed="false">
      <c r="A37" s="28" t="s">
        <v>32</v>
      </c>
      <c r="B37" s="29" t="n">
        <f aca="false">C37/$F$33</f>
        <v>0.05</v>
      </c>
      <c r="C37" s="30" t="n">
        <f aca="false">SUMIF($C$10:$C$32,A37,$F$10:$F$32)</f>
        <v>4250000</v>
      </c>
      <c r="D37" s="30" t="n">
        <f aca="false">SUMIF($C$10:$C$32,A37,$K$10:$K$32)</f>
        <v>31278.75</v>
      </c>
      <c r="E37" s="30" t="n">
        <f aca="false">SUMIF($C$10:$C$32,A37,$L$10:$L$32)</f>
        <v>33700</v>
      </c>
    </row>
    <row r="38" customFormat="false" ht="19.5" hidden="false" customHeight="true" outlineLevel="0" collapsed="false">
      <c r="A38" s="28" t="s">
        <v>47</v>
      </c>
      <c r="B38" s="29" t="n">
        <f aca="false">C38/$F$33</f>
        <v>0.6</v>
      </c>
      <c r="C38" s="30" t="n">
        <f aca="false">SUMIF($C$10:$C$32,A38,$F$10:$F$32)</f>
        <v>51000000</v>
      </c>
      <c r="D38" s="30" t="n">
        <f aca="false">SUMIF($C$10:$C$32,A38,$K$10:$K$32)</f>
        <v>0</v>
      </c>
      <c r="E38" s="30" t="n">
        <f aca="false">SUMIF($C$10:$C$32,A38,$L$10:$L$32)</f>
        <v>0</v>
      </c>
    </row>
    <row r="39" customFormat="false" ht="19.5" hidden="false" customHeight="true" outlineLevel="0" collapsed="false">
      <c r="A39" s="28" t="s">
        <v>79</v>
      </c>
      <c r="B39" s="29" t="n">
        <f aca="false">C39/$F$33</f>
        <v>0.3</v>
      </c>
      <c r="C39" s="30" t="n">
        <f aca="false">SUMIF($C$10:$C$32,A39,$F$10:$F$32)</f>
        <v>25500000</v>
      </c>
      <c r="D39" s="30" t="n">
        <f aca="false">SUMIF($C$10:$C$32,A39,$K$10:$K$32)</f>
        <v>21600</v>
      </c>
      <c r="E39" s="30" t="n">
        <f aca="false">SUMIF($C$10:$C$32,A39,$L$10:$L$32)</f>
        <v>22225</v>
      </c>
    </row>
    <row r="40" customFormat="false" ht="19.5" hidden="false" customHeight="true" outlineLevel="0" collapsed="false">
      <c r="A40" s="28" t="s">
        <v>112</v>
      </c>
      <c r="B40" s="29" t="n">
        <f aca="false">C40/$F$33</f>
        <v>0.05</v>
      </c>
      <c r="C40" s="30" t="n">
        <f aca="false">SUMIF($C$10:$C$32,A40,$F$10:$F$32)</f>
        <v>4250000</v>
      </c>
      <c r="D40" s="30" t="n">
        <f aca="false">SUMIF($C$10:$C$32,A40,$K$10:$K$32)</f>
        <v>0</v>
      </c>
      <c r="E40" s="30" t="n">
        <f aca="false">SUMIF($C$10:$C$32,A40,$L$10:$L$32)</f>
        <v>0</v>
      </c>
    </row>
  </sheetData>
  <mergeCells count="23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38"/>
    <col collapsed="false" customWidth="true" hidden="false" outlineLevel="0" max="5" min="5" style="0" width="29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38"/>
    <col collapsed="false" customWidth="true" hidden="false" outlineLevel="0" max="9" min="9" style="0" width="25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9" t="s">
        <v>127</v>
      </c>
      <c r="B4" s="9" t="s">
        <v>128</v>
      </c>
      <c r="C4" s="9" t="s">
        <v>129</v>
      </c>
      <c r="D4" s="10" t="s">
        <v>130</v>
      </c>
      <c r="E4" s="10" t="s">
        <v>131</v>
      </c>
      <c r="F4" s="10" t="s">
        <v>132</v>
      </c>
      <c r="G4" s="10" t="s">
        <v>133</v>
      </c>
      <c r="H4" s="10" t="s">
        <v>134</v>
      </c>
      <c r="I4" s="9" t="s">
        <v>135</v>
      </c>
    </row>
    <row r="5" customFormat="false" ht="19.5" hidden="false" customHeight="true" outlineLevel="0" collapsed="false">
      <c r="A5" s="17" t="s">
        <v>136</v>
      </c>
      <c r="B5" s="19" t="n">
        <v>28</v>
      </c>
      <c r="C5" s="19" t="s">
        <v>137</v>
      </c>
      <c r="D5" s="31" t="s">
        <v>138</v>
      </c>
      <c r="E5" s="20" t="n">
        <v>1487500</v>
      </c>
      <c r="F5" s="20" t="n">
        <f aca="false">SUM($E$5:E5)</f>
        <v>1487500</v>
      </c>
      <c r="G5" s="32" t="n">
        <f aca="false">F5/$E$23</f>
        <v>0.0175</v>
      </c>
      <c r="H5" s="18" t="s">
        <v>139</v>
      </c>
      <c r="I5" s="33" t="s">
        <v>140</v>
      </c>
    </row>
    <row r="6" customFormat="false" ht="19.5" hidden="false" customHeight="true" outlineLevel="0" collapsed="false">
      <c r="A6" s="11" t="s">
        <v>141</v>
      </c>
      <c r="B6" s="13" t="n">
        <v>56</v>
      </c>
      <c r="C6" s="13" t="s">
        <v>142</v>
      </c>
      <c r="D6" s="34" t="s">
        <v>143</v>
      </c>
      <c r="E6" s="14" t="n">
        <v>2125000</v>
      </c>
      <c r="F6" s="14" t="n">
        <f aca="false">SUM($E$5:E6)</f>
        <v>3612500</v>
      </c>
      <c r="G6" s="35" t="n">
        <f aca="false">F6/$E$23</f>
        <v>0.0425</v>
      </c>
      <c r="H6" s="12" t="s">
        <v>144</v>
      </c>
      <c r="I6" s="33" t="s">
        <v>145</v>
      </c>
    </row>
    <row r="7" customFormat="false" ht="19.5" hidden="false" customHeight="true" outlineLevel="0" collapsed="false">
      <c r="A7" s="17" t="s">
        <v>146</v>
      </c>
      <c r="B7" s="19" t="n">
        <v>84</v>
      </c>
      <c r="C7" s="19" t="s">
        <v>147</v>
      </c>
      <c r="D7" s="31" t="s">
        <v>148</v>
      </c>
      <c r="E7" s="20" t="n">
        <v>3400000</v>
      </c>
      <c r="F7" s="20" t="n">
        <f aca="false">SUM($E$5:E7)</f>
        <v>7012500</v>
      </c>
      <c r="G7" s="32" t="n">
        <f aca="false">F7/$E$23</f>
        <v>0.0825</v>
      </c>
      <c r="H7" s="18" t="s">
        <v>149</v>
      </c>
      <c r="I7" s="33" t="s">
        <v>150</v>
      </c>
    </row>
    <row r="8" customFormat="false" ht="19.5" hidden="false" customHeight="true" outlineLevel="0" collapsed="false">
      <c r="A8" s="11" t="s">
        <v>151</v>
      </c>
      <c r="B8" s="13" t="n">
        <v>112</v>
      </c>
      <c r="C8" s="13" t="s">
        <v>152</v>
      </c>
      <c r="D8" s="34" t="s">
        <v>153</v>
      </c>
      <c r="E8" s="14" t="n">
        <v>4675000</v>
      </c>
      <c r="F8" s="14" t="n">
        <f aca="false">SUM($E$5:E8)</f>
        <v>11687500</v>
      </c>
      <c r="G8" s="35" t="n">
        <f aca="false">F8/$E$23</f>
        <v>0.1375</v>
      </c>
      <c r="H8" s="12" t="s">
        <v>154</v>
      </c>
      <c r="I8" s="33" t="s">
        <v>150</v>
      </c>
    </row>
    <row r="9" customFormat="false" ht="19.5" hidden="false" customHeight="true" outlineLevel="0" collapsed="false">
      <c r="A9" s="17" t="s">
        <v>155</v>
      </c>
      <c r="B9" s="19" t="n">
        <v>140</v>
      </c>
      <c r="C9" s="19" t="s">
        <v>156</v>
      </c>
      <c r="D9" s="31" t="s">
        <v>157</v>
      </c>
      <c r="E9" s="20" t="n">
        <v>5950000</v>
      </c>
      <c r="F9" s="20" t="n">
        <f aca="false">SUM($E$5:E9)</f>
        <v>17637500</v>
      </c>
      <c r="G9" s="32" t="n">
        <f aca="false">F9/$E$23</f>
        <v>0.2075</v>
      </c>
      <c r="H9" s="18" t="s">
        <v>158</v>
      </c>
      <c r="I9" s="33" t="s">
        <v>150</v>
      </c>
    </row>
    <row r="10" customFormat="false" ht="19.5" hidden="false" customHeight="true" outlineLevel="0" collapsed="false">
      <c r="A10" s="11" t="s">
        <v>159</v>
      </c>
      <c r="B10" s="13" t="n">
        <v>168</v>
      </c>
      <c r="C10" s="13" t="s">
        <v>160</v>
      </c>
      <c r="D10" s="34" t="s">
        <v>161</v>
      </c>
      <c r="E10" s="14" t="n">
        <v>8500000</v>
      </c>
      <c r="F10" s="14" t="n">
        <f aca="false">SUM($E$5:E10)</f>
        <v>26137500</v>
      </c>
      <c r="G10" s="35" t="n">
        <f aca="false">F10/$E$23</f>
        <v>0.3075</v>
      </c>
      <c r="H10" s="12" t="s">
        <v>162</v>
      </c>
      <c r="I10" s="33" t="s">
        <v>163</v>
      </c>
    </row>
    <row r="11" customFormat="false" ht="19.5" hidden="false" customHeight="true" outlineLevel="0" collapsed="false">
      <c r="A11" s="17" t="s">
        <v>164</v>
      </c>
      <c r="B11" s="19" t="n">
        <v>196</v>
      </c>
      <c r="C11" s="19" t="s">
        <v>165</v>
      </c>
      <c r="D11" s="31" t="s">
        <v>166</v>
      </c>
      <c r="E11" s="20" t="n">
        <v>9350000</v>
      </c>
      <c r="F11" s="20" t="n">
        <f aca="false">SUM($E$5:E11)</f>
        <v>35487500</v>
      </c>
      <c r="G11" s="32" t="n">
        <f aca="false">F11/$E$23</f>
        <v>0.4175</v>
      </c>
      <c r="H11" s="18" t="s">
        <v>167</v>
      </c>
      <c r="I11" s="33" t="s">
        <v>168</v>
      </c>
    </row>
    <row r="12" customFormat="false" ht="19.5" hidden="false" customHeight="true" outlineLevel="0" collapsed="false">
      <c r="A12" s="11" t="s">
        <v>169</v>
      </c>
      <c r="B12" s="13" t="n">
        <v>224</v>
      </c>
      <c r="C12" s="13" t="s">
        <v>170</v>
      </c>
      <c r="D12" s="34" t="s">
        <v>171</v>
      </c>
      <c r="E12" s="14" t="n">
        <v>8925000</v>
      </c>
      <c r="F12" s="14" t="n">
        <f aca="false">SUM($E$5:E12)</f>
        <v>44412500</v>
      </c>
      <c r="G12" s="35" t="n">
        <f aca="false">F12/$E$23</f>
        <v>0.5225</v>
      </c>
      <c r="H12" s="12" t="s">
        <v>172</v>
      </c>
      <c r="I12" s="33" t="s">
        <v>173</v>
      </c>
    </row>
    <row r="13" customFormat="false" ht="19.5" hidden="false" customHeight="true" outlineLevel="0" collapsed="false">
      <c r="A13" s="17" t="s">
        <v>174</v>
      </c>
      <c r="B13" s="19" t="n">
        <v>252</v>
      </c>
      <c r="C13" s="19" t="s">
        <v>175</v>
      </c>
      <c r="D13" s="31" t="s">
        <v>176</v>
      </c>
      <c r="E13" s="20" t="n">
        <v>7650000</v>
      </c>
      <c r="F13" s="20" t="n">
        <f aca="false">SUM($E$5:E13)</f>
        <v>52062500</v>
      </c>
      <c r="G13" s="32" t="n">
        <f aca="false">F13/$E$23</f>
        <v>0.6125</v>
      </c>
      <c r="H13" s="18" t="s">
        <v>177</v>
      </c>
      <c r="I13" s="33" t="s">
        <v>178</v>
      </c>
    </row>
    <row r="14" customFormat="false" ht="19.5" hidden="false" customHeight="true" outlineLevel="0" collapsed="false">
      <c r="A14" s="11" t="s">
        <v>179</v>
      </c>
      <c r="B14" s="13" t="n">
        <v>280</v>
      </c>
      <c r="C14" s="13" t="s">
        <v>180</v>
      </c>
      <c r="D14" s="34" t="s">
        <v>181</v>
      </c>
      <c r="E14" s="14" t="n">
        <v>6800000</v>
      </c>
      <c r="F14" s="14" t="n">
        <f aca="false">SUM($E$5:E14)</f>
        <v>58862500</v>
      </c>
      <c r="G14" s="35" t="n">
        <f aca="false">F14/$E$23</f>
        <v>0.6925</v>
      </c>
      <c r="H14" s="12" t="s">
        <v>182</v>
      </c>
      <c r="I14" s="33" t="s">
        <v>183</v>
      </c>
    </row>
    <row r="15" customFormat="false" ht="19.5" hidden="false" customHeight="true" outlineLevel="0" collapsed="false">
      <c r="A15" s="17" t="s">
        <v>184</v>
      </c>
      <c r="B15" s="19" t="n">
        <v>308</v>
      </c>
      <c r="C15" s="19" t="s">
        <v>185</v>
      </c>
      <c r="D15" s="31" t="s">
        <v>186</v>
      </c>
      <c r="E15" s="20" t="n">
        <v>5950000</v>
      </c>
      <c r="F15" s="20" t="n">
        <f aca="false">SUM($E$5:E15)</f>
        <v>64812500</v>
      </c>
      <c r="G15" s="32" t="n">
        <f aca="false">F15/$E$23</f>
        <v>0.7625</v>
      </c>
      <c r="H15" s="18" t="s">
        <v>187</v>
      </c>
      <c r="I15" s="33" t="s">
        <v>183</v>
      </c>
    </row>
    <row r="16" customFormat="false" ht="19.5" hidden="false" customHeight="true" outlineLevel="0" collapsed="false">
      <c r="A16" s="11" t="s">
        <v>188</v>
      </c>
      <c r="B16" s="13" t="n">
        <v>336</v>
      </c>
      <c r="C16" s="13" t="s">
        <v>189</v>
      </c>
      <c r="D16" s="34" t="s">
        <v>190</v>
      </c>
      <c r="E16" s="14" t="n">
        <v>5100000</v>
      </c>
      <c r="F16" s="14" t="n">
        <f aca="false">SUM($E$5:E16)</f>
        <v>69912500</v>
      </c>
      <c r="G16" s="35" t="n">
        <f aca="false">F16/$E$23</f>
        <v>0.8225</v>
      </c>
      <c r="H16" s="12" t="s">
        <v>191</v>
      </c>
      <c r="I16" s="33" t="s">
        <v>192</v>
      </c>
    </row>
    <row r="17" customFormat="false" ht="19.5" hidden="false" customHeight="true" outlineLevel="0" collapsed="false">
      <c r="A17" s="17" t="s">
        <v>193</v>
      </c>
      <c r="B17" s="19" t="n">
        <v>364</v>
      </c>
      <c r="C17" s="19" t="s">
        <v>194</v>
      </c>
      <c r="D17" s="31" t="s">
        <v>195</v>
      </c>
      <c r="E17" s="20" t="n">
        <v>4250000</v>
      </c>
      <c r="F17" s="20" t="n">
        <f aca="false">SUM($E$5:E17)</f>
        <v>74162500</v>
      </c>
      <c r="G17" s="32" t="n">
        <f aca="false">F17/$E$23</f>
        <v>0.8725</v>
      </c>
      <c r="H17" s="18" t="s">
        <v>196</v>
      </c>
      <c r="I17" s="33" t="s">
        <v>197</v>
      </c>
    </row>
    <row r="18" customFormat="false" ht="19.5" hidden="false" customHeight="true" outlineLevel="0" collapsed="false">
      <c r="A18" s="11" t="s">
        <v>198</v>
      </c>
      <c r="B18" s="13" t="n">
        <v>392</v>
      </c>
      <c r="C18" s="13" t="s">
        <v>199</v>
      </c>
      <c r="D18" s="34" t="s">
        <v>200</v>
      </c>
      <c r="E18" s="14" t="n">
        <v>3400000</v>
      </c>
      <c r="F18" s="14" t="n">
        <f aca="false">SUM($E$5:E18)</f>
        <v>77562500</v>
      </c>
      <c r="G18" s="35" t="n">
        <f aca="false">F18/$E$23</f>
        <v>0.9125</v>
      </c>
      <c r="H18" s="12" t="s">
        <v>201</v>
      </c>
      <c r="I18" s="33" t="s">
        <v>202</v>
      </c>
    </row>
    <row r="19" customFormat="false" ht="19.5" hidden="false" customHeight="true" outlineLevel="0" collapsed="false">
      <c r="A19" s="17" t="s">
        <v>203</v>
      </c>
      <c r="B19" s="19" t="n">
        <v>420</v>
      </c>
      <c r="C19" s="19" t="s">
        <v>204</v>
      </c>
      <c r="D19" s="31" t="s">
        <v>205</v>
      </c>
      <c r="E19" s="20" t="n">
        <v>2975000</v>
      </c>
      <c r="F19" s="20" t="n">
        <f aca="false">SUM($E$5:E19)</f>
        <v>80537500</v>
      </c>
      <c r="G19" s="32" t="n">
        <f aca="false">F19/$E$23</f>
        <v>0.9475</v>
      </c>
      <c r="H19" s="18" t="s">
        <v>206</v>
      </c>
      <c r="I19" s="33" t="s">
        <v>207</v>
      </c>
    </row>
    <row r="20" customFormat="false" ht="19.5" hidden="false" customHeight="true" outlineLevel="0" collapsed="false">
      <c r="A20" s="11" t="s">
        <v>208</v>
      </c>
      <c r="B20" s="13" t="n">
        <v>448</v>
      </c>
      <c r="C20" s="13" t="s">
        <v>209</v>
      </c>
      <c r="D20" s="34" t="s">
        <v>210</v>
      </c>
      <c r="E20" s="14" t="n">
        <v>2125000</v>
      </c>
      <c r="F20" s="14" t="n">
        <f aca="false">SUM($E$5:E20)</f>
        <v>82662500</v>
      </c>
      <c r="G20" s="35" t="n">
        <f aca="false">F20/$E$23</f>
        <v>0.9725</v>
      </c>
      <c r="H20" s="12" t="s">
        <v>211</v>
      </c>
      <c r="I20" s="33" t="s">
        <v>212</v>
      </c>
    </row>
    <row r="21" customFormat="false" ht="19.5" hidden="false" customHeight="true" outlineLevel="0" collapsed="false">
      <c r="A21" s="17" t="s">
        <v>213</v>
      </c>
      <c r="B21" s="19" t="n">
        <v>476</v>
      </c>
      <c r="C21" s="19" t="s">
        <v>214</v>
      </c>
      <c r="D21" s="31" t="s">
        <v>215</v>
      </c>
      <c r="E21" s="20" t="n">
        <v>1487500</v>
      </c>
      <c r="F21" s="20" t="n">
        <f aca="false">SUM($E$5:E21)</f>
        <v>84150000</v>
      </c>
      <c r="G21" s="32" t="n">
        <f aca="false">F21/$E$23</f>
        <v>0.99</v>
      </c>
      <c r="H21" s="18" t="s">
        <v>216</v>
      </c>
      <c r="I21" s="33" t="s">
        <v>217</v>
      </c>
    </row>
    <row r="22" customFormat="false" ht="19.5" hidden="false" customHeight="true" outlineLevel="0" collapsed="false">
      <c r="A22" s="11" t="s">
        <v>218</v>
      </c>
      <c r="B22" s="13" t="n">
        <v>504</v>
      </c>
      <c r="C22" s="13" t="s">
        <v>219</v>
      </c>
      <c r="D22" s="34" t="s">
        <v>220</v>
      </c>
      <c r="E22" s="14" t="n">
        <v>850000</v>
      </c>
      <c r="F22" s="14" t="n">
        <f aca="false">SUM($E$5:E22)</f>
        <v>85000000</v>
      </c>
      <c r="G22" s="35" t="n">
        <f aca="false">F22/$E$23</f>
        <v>1</v>
      </c>
      <c r="H22" s="12" t="s">
        <v>221</v>
      </c>
      <c r="I22" s="23" t="s">
        <v>222</v>
      </c>
    </row>
    <row r="23" customFormat="false" ht="24" hidden="false" customHeight="true" outlineLevel="0" collapsed="false">
      <c r="A23" s="24" t="s">
        <v>115</v>
      </c>
      <c r="B23" s="24" t="n">
        <v>504</v>
      </c>
      <c r="C23" s="24" t="s">
        <v>223</v>
      </c>
      <c r="D23" s="25" t="s">
        <v>224</v>
      </c>
      <c r="E23" s="26" t="n">
        <f aca="false">SUM(E5:E22)</f>
        <v>85000000</v>
      </c>
      <c r="F23" s="26" t="n">
        <f aca="false">F22</f>
        <v>85000000</v>
      </c>
      <c r="G23" s="36" t="n">
        <f aca="false">G22</f>
        <v>1</v>
      </c>
      <c r="H23" s="25" t="s">
        <v>225</v>
      </c>
      <c r="I23" s="24" t="s">
        <v>226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29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2" min="12" style="0" width="23"/>
  </cols>
  <sheetData>
    <row r="1" customFormat="false" ht="27.75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228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9" t="s">
        <v>229</v>
      </c>
      <c r="B4" s="10" t="s">
        <v>230</v>
      </c>
      <c r="C4" s="9" t="s">
        <v>18</v>
      </c>
      <c r="D4" s="9" t="s">
        <v>19</v>
      </c>
      <c r="E4" s="9" t="s">
        <v>231</v>
      </c>
      <c r="F4" s="9" t="s">
        <v>232</v>
      </c>
      <c r="G4" s="10" t="s">
        <v>233</v>
      </c>
      <c r="H4" s="10" t="s">
        <v>234</v>
      </c>
      <c r="I4" s="10" t="s">
        <v>235</v>
      </c>
      <c r="J4" s="9" t="s">
        <v>236</v>
      </c>
      <c r="K4" s="9" t="s">
        <v>237</v>
      </c>
      <c r="L4" s="9" t="s">
        <v>238</v>
      </c>
    </row>
    <row r="5" customFormat="false" ht="19.5" hidden="false" customHeight="true" outlineLevel="0" collapsed="false">
      <c r="A5" s="17" t="s">
        <v>239</v>
      </c>
      <c r="B5" s="18" t="s">
        <v>240</v>
      </c>
      <c r="C5" s="19" t="s">
        <v>241</v>
      </c>
      <c r="D5" s="19" t="s">
        <v>118</v>
      </c>
      <c r="E5" s="19" t="s">
        <v>242</v>
      </c>
      <c r="F5" s="19" t="s">
        <v>243</v>
      </c>
      <c r="G5" s="37" t="n">
        <v>1</v>
      </c>
      <c r="H5" s="37" t="n">
        <f aca="false">G5+14</f>
        <v>15</v>
      </c>
      <c r="I5" s="18" t="s">
        <v>244</v>
      </c>
      <c r="J5" s="16" t="s">
        <v>245</v>
      </c>
      <c r="K5" s="16" t="s">
        <v>246</v>
      </c>
      <c r="L5" s="19" t="s">
        <v>77</v>
      </c>
    </row>
    <row r="6" customFormat="false" ht="19.5" hidden="false" customHeight="true" outlineLevel="0" collapsed="false">
      <c r="A6" s="11" t="s">
        <v>247</v>
      </c>
      <c r="B6" s="12" t="s">
        <v>248</v>
      </c>
      <c r="C6" s="13" t="s">
        <v>249</v>
      </c>
      <c r="D6" s="13" t="s">
        <v>250</v>
      </c>
      <c r="E6" s="13" t="s">
        <v>242</v>
      </c>
      <c r="F6" s="13" t="s">
        <v>251</v>
      </c>
      <c r="G6" s="38" t="n">
        <v>1</v>
      </c>
      <c r="H6" s="38" t="n">
        <f aca="false">G6+14</f>
        <v>15</v>
      </c>
      <c r="I6" s="12" t="s">
        <v>244</v>
      </c>
      <c r="J6" s="16" t="s">
        <v>245</v>
      </c>
      <c r="K6" s="16" t="s">
        <v>246</v>
      </c>
      <c r="L6" s="13" t="s">
        <v>252</v>
      </c>
    </row>
    <row r="7" customFormat="false" ht="19.5" hidden="false" customHeight="true" outlineLevel="0" collapsed="false">
      <c r="A7" s="17" t="s">
        <v>253</v>
      </c>
      <c r="B7" s="18" t="s">
        <v>254</v>
      </c>
      <c r="C7" s="19" t="s">
        <v>255</v>
      </c>
      <c r="D7" s="19" t="s">
        <v>256</v>
      </c>
      <c r="E7" s="19" t="s">
        <v>242</v>
      </c>
      <c r="F7" s="19" t="s">
        <v>257</v>
      </c>
      <c r="G7" s="37" t="n">
        <v>1</v>
      </c>
      <c r="H7" s="37" t="n">
        <f aca="false">G7+14</f>
        <v>15</v>
      </c>
      <c r="I7" s="18" t="s">
        <v>258</v>
      </c>
      <c r="J7" s="16" t="s">
        <v>245</v>
      </c>
      <c r="K7" s="16" t="s">
        <v>246</v>
      </c>
      <c r="L7" s="19" t="s">
        <v>77</v>
      </c>
    </row>
    <row r="8" customFormat="false" ht="19.5" hidden="false" customHeight="true" outlineLevel="0" collapsed="false">
      <c r="A8" s="11" t="s">
        <v>259</v>
      </c>
      <c r="B8" s="12" t="s">
        <v>260</v>
      </c>
      <c r="C8" s="13" t="s">
        <v>261</v>
      </c>
      <c r="D8" s="13" t="s">
        <v>262</v>
      </c>
      <c r="E8" s="13" t="s">
        <v>242</v>
      </c>
      <c r="F8" s="13" t="s">
        <v>263</v>
      </c>
      <c r="G8" s="38" t="n">
        <v>1</v>
      </c>
      <c r="H8" s="38" t="n">
        <f aca="false">G8+14</f>
        <v>15</v>
      </c>
      <c r="I8" s="12" t="s">
        <v>244</v>
      </c>
      <c r="J8" s="16" t="s">
        <v>245</v>
      </c>
      <c r="K8" s="16" t="s">
        <v>246</v>
      </c>
      <c r="L8" s="13" t="s">
        <v>77</v>
      </c>
    </row>
    <row r="9" customFormat="false" ht="19.5" hidden="false" customHeight="true" outlineLevel="0" collapsed="false">
      <c r="A9" s="17" t="s">
        <v>264</v>
      </c>
      <c r="B9" s="18" t="s">
        <v>265</v>
      </c>
      <c r="C9" s="19" t="s">
        <v>266</v>
      </c>
      <c r="D9" s="19" t="s">
        <v>267</v>
      </c>
      <c r="E9" s="19" t="s">
        <v>268</v>
      </c>
      <c r="F9" s="19" t="s">
        <v>269</v>
      </c>
      <c r="G9" s="37" t="n">
        <v>1</v>
      </c>
      <c r="H9" s="37" t="n">
        <f aca="false">G9+14</f>
        <v>15</v>
      </c>
      <c r="I9" s="18" t="s">
        <v>270</v>
      </c>
      <c r="J9" s="22" t="s">
        <v>271</v>
      </c>
      <c r="K9" s="22" t="s">
        <v>272</v>
      </c>
      <c r="L9" s="19" t="s">
        <v>30</v>
      </c>
    </row>
    <row r="10" customFormat="false" ht="19.5" hidden="false" customHeight="true" outlineLevel="0" collapsed="false">
      <c r="A10" s="11" t="s">
        <v>273</v>
      </c>
      <c r="B10" s="12" t="s">
        <v>274</v>
      </c>
      <c r="C10" s="13" t="s">
        <v>266</v>
      </c>
      <c r="D10" s="13" t="s">
        <v>33</v>
      </c>
      <c r="E10" s="13" t="s">
        <v>268</v>
      </c>
      <c r="F10" s="13" t="s">
        <v>275</v>
      </c>
      <c r="G10" s="38" t="n">
        <v>1</v>
      </c>
      <c r="H10" s="38" t="n">
        <f aca="false">G10+14</f>
        <v>15</v>
      </c>
      <c r="I10" s="12" t="s">
        <v>276</v>
      </c>
      <c r="J10" s="22" t="s">
        <v>271</v>
      </c>
      <c r="K10" s="22" t="s">
        <v>272</v>
      </c>
      <c r="L10" s="13" t="s">
        <v>84</v>
      </c>
    </row>
    <row r="11" customFormat="false" ht="19.5" hidden="false" customHeight="true" outlineLevel="0" collapsed="false">
      <c r="A11" s="17" t="s">
        <v>277</v>
      </c>
      <c r="B11" s="18" t="s">
        <v>278</v>
      </c>
      <c r="C11" s="19" t="s">
        <v>279</v>
      </c>
      <c r="D11" s="19" t="s">
        <v>41</v>
      </c>
      <c r="E11" s="19" t="s">
        <v>268</v>
      </c>
      <c r="F11" s="19" t="s">
        <v>280</v>
      </c>
      <c r="G11" s="37" t="n">
        <v>1</v>
      </c>
      <c r="H11" s="37" t="n">
        <f aca="false">G11+14</f>
        <v>15</v>
      </c>
      <c r="I11" s="18" t="s">
        <v>270</v>
      </c>
      <c r="J11" s="22" t="s">
        <v>271</v>
      </c>
      <c r="K11" s="22" t="s">
        <v>272</v>
      </c>
      <c r="L11" s="19" t="s">
        <v>87</v>
      </c>
    </row>
    <row r="12" customFormat="false" ht="19.5" hidden="false" customHeight="true" outlineLevel="0" collapsed="false">
      <c r="A12" s="11" t="s">
        <v>281</v>
      </c>
      <c r="B12" s="12" t="s">
        <v>282</v>
      </c>
      <c r="C12" s="13" t="s">
        <v>283</v>
      </c>
      <c r="D12" s="13" t="s">
        <v>38</v>
      </c>
      <c r="E12" s="13" t="s">
        <v>268</v>
      </c>
      <c r="F12" s="13" t="s">
        <v>284</v>
      </c>
      <c r="G12" s="38" t="n">
        <v>1</v>
      </c>
      <c r="H12" s="38" t="n">
        <f aca="false">G12+14</f>
        <v>15</v>
      </c>
      <c r="I12" s="12" t="s">
        <v>285</v>
      </c>
      <c r="J12" s="22" t="s">
        <v>271</v>
      </c>
      <c r="K12" s="22" t="s">
        <v>272</v>
      </c>
      <c r="L12" s="13" t="s">
        <v>94</v>
      </c>
    </row>
    <row r="13" customFormat="false" ht="19.5" hidden="false" customHeight="true" outlineLevel="0" collapsed="false">
      <c r="A13" s="17" t="s">
        <v>286</v>
      </c>
      <c r="B13" s="18" t="s">
        <v>287</v>
      </c>
      <c r="C13" s="19" t="s">
        <v>288</v>
      </c>
      <c r="D13" s="19" t="s">
        <v>44</v>
      </c>
      <c r="E13" s="19" t="s">
        <v>268</v>
      </c>
      <c r="F13" s="19" t="s">
        <v>289</v>
      </c>
      <c r="G13" s="37" t="n">
        <v>1</v>
      </c>
      <c r="H13" s="37" t="n">
        <f aca="false">G13+14</f>
        <v>15</v>
      </c>
      <c r="I13" s="18" t="s">
        <v>290</v>
      </c>
      <c r="J13" s="22" t="s">
        <v>271</v>
      </c>
      <c r="K13" s="22" t="s">
        <v>272</v>
      </c>
      <c r="L13" s="19" t="s">
        <v>42</v>
      </c>
    </row>
    <row r="14" customFormat="false" ht="19.5" hidden="false" customHeight="true" outlineLevel="0" collapsed="false">
      <c r="A14" s="11" t="s">
        <v>291</v>
      </c>
      <c r="B14" s="12" t="s">
        <v>292</v>
      </c>
      <c r="C14" s="13" t="s">
        <v>293</v>
      </c>
      <c r="D14" s="13" t="s">
        <v>294</v>
      </c>
      <c r="E14" s="13" t="s">
        <v>268</v>
      </c>
      <c r="F14" s="13" t="s">
        <v>295</v>
      </c>
      <c r="G14" s="38" t="n">
        <v>1</v>
      </c>
      <c r="H14" s="38" t="n">
        <f aca="false">G14+14</f>
        <v>15</v>
      </c>
      <c r="I14" s="12" t="s">
        <v>290</v>
      </c>
      <c r="J14" s="22" t="s">
        <v>271</v>
      </c>
      <c r="K14" s="22" t="s">
        <v>272</v>
      </c>
      <c r="L14" s="13" t="s">
        <v>42</v>
      </c>
    </row>
    <row r="15" customFormat="false" ht="19.5" hidden="false" customHeight="true" outlineLevel="0" collapsed="false">
      <c r="A15" s="17" t="s">
        <v>296</v>
      </c>
      <c r="B15" s="18" t="s">
        <v>297</v>
      </c>
      <c r="C15" s="19" t="s">
        <v>298</v>
      </c>
      <c r="D15" s="19" t="s">
        <v>299</v>
      </c>
      <c r="E15" s="19" t="s">
        <v>242</v>
      </c>
      <c r="F15" s="19" t="s">
        <v>300</v>
      </c>
      <c r="G15" s="37" t="n">
        <v>1</v>
      </c>
      <c r="H15" s="37" t="n">
        <f aca="false">G15+14</f>
        <v>15</v>
      </c>
      <c r="I15" s="18" t="s">
        <v>301</v>
      </c>
      <c r="J15" s="16" t="s">
        <v>245</v>
      </c>
      <c r="K15" s="16" t="s">
        <v>246</v>
      </c>
      <c r="L15" s="19" t="s">
        <v>62</v>
      </c>
    </row>
    <row r="16" customFormat="false" ht="19.5" hidden="false" customHeight="true" outlineLevel="0" collapsed="false">
      <c r="A16" s="11" t="s">
        <v>302</v>
      </c>
      <c r="B16" s="12" t="s">
        <v>303</v>
      </c>
      <c r="C16" s="13" t="s">
        <v>304</v>
      </c>
      <c r="D16" s="13" t="s">
        <v>305</v>
      </c>
      <c r="E16" s="13" t="s">
        <v>242</v>
      </c>
      <c r="F16" s="13" t="s">
        <v>306</v>
      </c>
      <c r="G16" s="38" t="n">
        <v>1</v>
      </c>
      <c r="H16" s="38" t="n">
        <f aca="false">G16+14</f>
        <v>15</v>
      </c>
      <c r="I16" s="12" t="s">
        <v>307</v>
      </c>
      <c r="J16" s="16" t="s">
        <v>245</v>
      </c>
      <c r="K16" s="16" t="s">
        <v>246</v>
      </c>
      <c r="L16" s="13" t="s">
        <v>252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7" min="6" style="0" width="26"/>
    <col collapsed="false" customWidth="true" hidden="false" outlineLevel="0" max="8" min="8" style="0" width="22"/>
    <col collapsed="false" customWidth="true" hidden="false" outlineLevel="0" max="10" min="9" style="0" width="2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27"/>
  </cols>
  <sheetData>
    <row r="1" customFormat="false" ht="27.7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309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A4" s="9" t="s">
        <v>310</v>
      </c>
      <c r="B4" s="10" t="s">
        <v>311</v>
      </c>
      <c r="C4" s="9" t="s">
        <v>312</v>
      </c>
      <c r="D4" s="9" t="s">
        <v>313</v>
      </c>
      <c r="E4" s="10" t="s">
        <v>314</v>
      </c>
      <c r="F4" s="10" t="s">
        <v>315</v>
      </c>
      <c r="G4" s="10" t="s">
        <v>316</v>
      </c>
      <c r="H4" s="10" t="s">
        <v>317</v>
      </c>
      <c r="I4" s="10" t="s">
        <v>318</v>
      </c>
      <c r="J4" s="10" t="s">
        <v>319</v>
      </c>
      <c r="K4" s="10" t="s">
        <v>320</v>
      </c>
      <c r="L4" s="10" t="s">
        <v>321</v>
      </c>
      <c r="M4" s="9" t="s">
        <v>29</v>
      </c>
    </row>
    <row r="5" customFormat="false" ht="19.5" hidden="false" customHeight="true" outlineLevel="0" collapsed="false">
      <c r="A5" s="17" t="s">
        <v>62</v>
      </c>
      <c r="B5" s="18" t="s">
        <v>322</v>
      </c>
      <c r="C5" s="19" t="s">
        <v>53</v>
      </c>
      <c r="D5" s="19" t="s">
        <v>323</v>
      </c>
      <c r="E5" s="20" t="n">
        <v>1800000</v>
      </c>
      <c r="F5" s="20" t="n">
        <f aca="false">E5*0.15</f>
        <v>270000</v>
      </c>
      <c r="G5" s="20" t="n">
        <f aca="false">E5*0.75</f>
        <v>1350000</v>
      </c>
      <c r="H5" s="20" t="n">
        <f aca="false">E5*0.1</f>
        <v>180000</v>
      </c>
      <c r="I5" s="37" t="n">
        <v>12</v>
      </c>
      <c r="J5" s="37" t="n">
        <v>182</v>
      </c>
      <c r="K5" s="37" t="n">
        <f aca="false">I5+J5</f>
        <v>194</v>
      </c>
      <c r="L5" s="37" t="n">
        <v>0</v>
      </c>
      <c r="M5" s="22" t="s">
        <v>324</v>
      </c>
    </row>
    <row r="6" customFormat="false" ht="19.5" hidden="false" customHeight="true" outlineLevel="0" collapsed="false">
      <c r="A6" s="11" t="s">
        <v>66</v>
      </c>
      <c r="B6" s="12" t="s">
        <v>325</v>
      </c>
      <c r="C6" s="13" t="s">
        <v>53</v>
      </c>
      <c r="D6" s="13" t="s">
        <v>323</v>
      </c>
      <c r="E6" s="14" t="n">
        <v>2200000</v>
      </c>
      <c r="F6" s="14" t="n">
        <f aca="false">E6*0.15</f>
        <v>330000</v>
      </c>
      <c r="G6" s="14" t="n">
        <f aca="false">E6*0.75</f>
        <v>1650000</v>
      </c>
      <c r="H6" s="14" t="n">
        <f aca="false">E6*0.1</f>
        <v>220000</v>
      </c>
      <c r="I6" s="38" t="n">
        <v>45</v>
      </c>
      <c r="J6" s="38" t="n">
        <v>168</v>
      </c>
      <c r="K6" s="38" t="n">
        <f aca="false">I6+J6</f>
        <v>213</v>
      </c>
      <c r="L6" s="38" t="n">
        <v>0</v>
      </c>
      <c r="M6" s="22" t="s">
        <v>65</v>
      </c>
    </row>
    <row r="7" customFormat="false" ht="19.5" hidden="false" customHeight="true" outlineLevel="0" collapsed="false">
      <c r="A7" s="17" t="s">
        <v>55</v>
      </c>
      <c r="B7" s="18" t="s">
        <v>326</v>
      </c>
      <c r="C7" s="19" t="s">
        <v>53</v>
      </c>
      <c r="D7" s="19" t="s">
        <v>327</v>
      </c>
      <c r="E7" s="20" t="n">
        <v>22000000</v>
      </c>
      <c r="F7" s="20" t="n">
        <f aca="false">E7*0.15</f>
        <v>3300000</v>
      </c>
      <c r="G7" s="20" t="n">
        <f aca="false">E7*0.75</f>
        <v>16500000</v>
      </c>
      <c r="H7" s="20" t="n">
        <f aca="false">E7*0.1</f>
        <v>2200000</v>
      </c>
      <c r="I7" s="37" t="n">
        <v>75</v>
      </c>
      <c r="J7" s="37" t="n">
        <v>90</v>
      </c>
      <c r="K7" s="37" t="n">
        <f aca="false">I7+J7</f>
        <v>165</v>
      </c>
      <c r="L7" s="37" t="n">
        <v>0</v>
      </c>
      <c r="M7" s="22" t="s">
        <v>328</v>
      </c>
    </row>
    <row r="8" customFormat="false" ht="19.5" hidden="false" customHeight="true" outlineLevel="0" collapsed="false">
      <c r="A8" s="11" t="s">
        <v>51</v>
      </c>
      <c r="B8" s="12" t="s">
        <v>329</v>
      </c>
      <c r="C8" s="13" t="s">
        <v>53</v>
      </c>
      <c r="D8" s="13" t="s">
        <v>330</v>
      </c>
      <c r="E8" s="14" t="n">
        <v>8500000</v>
      </c>
      <c r="F8" s="14" t="n">
        <f aca="false">E8*0.15</f>
        <v>1275000</v>
      </c>
      <c r="G8" s="14" t="n">
        <f aca="false">E8*0.75</f>
        <v>6375000</v>
      </c>
      <c r="H8" s="14" t="n">
        <f aca="false">E8*0.1</f>
        <v>850000</v>
      </c>
      <c r="I8" s="38" t="n">
        <v>60</v>
      </c>
      <c r="J8" s="38" t="n">
        <v>70</v>
      </c>
      <c r="K8" s="38" t="n">
        <f aca="false">I8+J8</f>
        <v>130</v>
      </c>
      <c r="L8" s="38" t="n">
        <v>0</v>
      </c>
      <c r="M8" s="23" t="s">
        <v>331</v>
      </c>
    </row>
    <row r="9" customFormat="false" ht="19.5" hidden="false" customHeight="true" outlineLevel="0" collapsed="false">
      <c r="A9" s="17" t="s">
        <v>58</v>
      </c>
      <c r="B9" s="18" t="s">
        <v>332</v>
      </c>
      <c r="C9" s="19" t="s">
        <v>53</v>
      </c>
      <c r="D9" s="19" t="s">
        <v>333</v>
      </c>
      <c r="E9" s="20" t="n">
        <v>5500000</v>
      </c>
      <c r="F9" s="20" t="n">
        <f aca="false">E9*0.15</f>
        <v>825000</v>
      </c>
      <c r="G9" s="20" t="n">
        <f aca="false">E9*0.75</f>
        <v>4125000</v>
      </c>
      <c r="H9" s="20" t="n">
        <f aca="false">E9*0.1</f>
        <v>550000</v>
      </c>
      <c r="I9" s="37" t="n">
        <v>90</v>
      </c>
      <c r="J9" s="37" t="n">
        <v>98</v>
      </c>
      <c r="K9" s="37" t="n">
        <f aca="false">I9+J9</f>
        <v>188</v>
      </c>
      <c r="L9" s="37" t="n">
        <v>0</v>
      </c>
      <c r="M9" s="23" t="s">
        <v>334</v>
      </c>
    </row>
    <row r="10" customFormat="false" ht="19.5" hidden="false" customHeight="true" outlineLevel="0" collapsed="false">
      <c r="A10" s="11" t="s">
        <v>45</v>
      </c>
      <c r="B10" s="12" t="s">
        <v>335</v>
      </c>
      <c r="C10" s="13" t="s">
        <v>48</v>
      </c>
      <c r="D10" s="13" t="s">
        <v>330</v>
      </c>
      <c r="E10" s="14" t="n">
        <v>1540000</v>
      </c>
      <c r="F10" s="14" t="n">
        <f aca="false">E10*0.15</f>
        <v>231000</v>
      </c>
      <c r="G10" s="14" t="n">
        <f aca="false">E10*0.75</f>
        <v>1155000</v>
      </c>
      <c r="H10" s="14" t="n">
        <f aca="false">E10*0.1</f>
        <v>154000</v>
      </c>
      <c r="I10" s="38" t="n">
        <v>40</v>
      </c>
      <c r="J10" s="38" t="n">
        <v>60</v>
      </c>
      <c r="K10" s="38" t="n">
        <f aca="false">I10+J10</f>
        <v>100</v>
      </c>
      <c r="L10" s="38" t="n">
        <v>0</v>
      </c>
      <c r="M10" s="22" t="s">
        <v>336</v>
      </c>
    </row>
    <row r="11" customFormat="false" ht="19.5" hidden="false" customHeight="true" outlineLevel="0" collapsed="false">
      <c r="A11" s="17" t="s">
        <v>69</v>
      </c>
      <c r="B11" s="18" t="s">
        <v>337</v>
      </c>
      <c r="C11" s="19" t="s">
        <v>48</v>
      </c>
      <c r="D11" s="19" t="s">
        <v>330</v>
      </c>
      <c r="E11" s="20" t="n">
        <v>3260000</v>
      </c>
      <c r="F11" s="20" t="n">
        <f aca="false">E11*0.15</f>
        <v>489000</v>
      </c>
      <c r="G11" s="20" t="n">
        <f aca="false">E11*0.75</f>
        <v>2445000</v>
      </c>
      <c r="H11" s="20" t="n">
        <f aca="false">E11*0.1</f>
        <v>326000</v>
      </c>
      <c r="I11" s="37" t="n">
        <v>70</v>
      </c>
      <c r="J11" s="37" t="n">
        <v>65</v>
      </c>
      <c r="K11" s="37" t="n">
        <f aca="false">I11+J11</f>
        <v>135</v>
      </c>
      <c r="L11" s="37" t="n">
        <v>0</v>
      </c>
      <c r="M11" s="23" t="s">
        <v>331</v>
      </c>
    </row>
    <row r="12" customFormat="false" ht="19.5" hidden="false" customHeight="true" outlineLevel="0" collapsed="false">
      <c r="A12" s="11" t="s">
        <v>73</v>
      </c>
      <c r="B12" s="12" t="s">
        <v>338</v>
      </c>
      <c r="C12" s="13" t="s">
        <v>48</v>
      </c>
      <c r="D12" s="13" t="s">
        <v>330</v>
      </c>
      <c r="E12" s="14" t="n">
        <v>1200000</v>
      </c>
      <c r="F12" s="14" t="n">
        <f aca="false">E12*0.15</f>
        <v>180000</v>
      </c>
      <c r="G12" s="14" t="n">
        <f aca="false">E12*0.75</f>
        <v>900000</v>
      </c>
      <c r="H12" s="14" t="n">
        <f aca="false">E12*0.1</f>
        <v>120000</v>
      </c>
      <c r="I12" s="38" t="n">
        <v>80</v>
      </c>
      <c r="J12" s="38" t="n">
        <v>70</v>
      </c>
      <c r="K12" s="38" t="n">
        <f aca="false">I12+J12</f>
        <v>150</v>
      </c>
      <c r="L12" s="38" t="n">
        <v>0</v>
      </c>
      <c r="M12" s="23" t="s">
        <v>331</v>
      </c>
    </row>
    <row r="13" customFormat="false" ht="19.5" hidden="false" customHeight="true" outlineLevel="0" collapsed="false">
      <c r="A13" s="17" t="s">
        <v>75</v>
      </c>
      <c r="B13" s="18" t="s">
        <v>339</v>
      </c>
      <c r="C13" s="19" t="s">
        <v>48</v>
      </c>
      <c r="D13" s="19" t="s">
        <v>330</v>
      </c>
      <c r="E13" s="20" t="n">
        <v>5000000</v>
      </c>
      <c r="F13" s="20" t="n">
        <f aca="false">E13*0.15</f>
        <v>750000</v>
      </c>
      <c r="G13" s="20" t="n">
        <f aca="false">E13*0.75</f>
        <v>3750000</v>
      </c>
      <c r="H13" s="20" t="n">
        <f aca="false">E13*0.1</f>
        <v>500000</v>
      </c>
      <c r="I13" s="37" t="n">
        <v>90</v>
      </c>
      <c r="J13" s="37" t="n">
        <v>84</v>
      </c>
      <c r="K13" s="37" t="n">
        <f aca="false">I13+J13</f>
        <v>174</v>
      </c>
      <c r="L13" s="37" t="n">
        <v>0</v>
      </c>
      <c r="M13" s="23" t="s">
        <v>331</v>
      </c>
    </row>
    <row r="14" customFormat="false" ht="24" hidden="false" customHeight="true" outlineLevel="0" collapsed="false">
      <c r="A14" s="24" t="s">
        <v>115</v>
      </c>
      <c r="B14" s="25" t="s">
        <v>340</v>
      </c>
      <c r="C14" s="24" t="s">
        <v>299</v>
      </c>
      <c r="D14" s="24" t="s">
        <v>341</v>
      </c>
      <c r="E14" s="26" t="n">
        <f aca="false">SUM(E5:E13)</f>
        <v>51000000</v>
      </c>
      <c r="F14" s="26" t="n">
        <f aca="false">SUM(F5:F13)</f>
        <v>7650000</v>
      </c>
      <c r="G14" s="26" t="n">
        <f aca="false">SUM(G5:G13)</f>
        <v>38250000</v>
      </c>
      <c r="H14" s="26" t="n">
        <f aca="false">SUM(H5:H13)</f>
        <v>5100000</v>
      </c>
      <c r="I14" s="27"/>
      <c r="J14" s="27"/>
      <c r="K14" s="27"/>
      <c r="L14" s="39" t="n">
        <f aca="false">SUM(L5:L13)</f>
        <v>0</v>
      </c>
      <c r="M14" s="24" t="s">
        <v>35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38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21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9" t="s">
        <v>344</v>
      </c>
      <c r="B4" s="9" t="s">
        <v>345</v>
      </c>
      <c r="C4" s="9" t="s">
        <v>346</v>
      </c>
      <c r="D4" s="10" t="s">
        <v>347</v>
      </c>
      <c r="E4" s="10" t="s">
        <v>348</v>
      </c>
      <c r="F4" s="9" t="s">
        <v>349</v>
      </c>
      <c r="G4" s="9" t="s">
        <v>350</v>
      </c>
      <c r="H4" s="9" t="s">
        <v>351</v>
      </c>
      <c r="I4" s="9" t="s">
        <v>352</v>
      </c>
    </row>
    <row r="5" customFormat="false" ht="19.5" hidden="false" customHeight="true" outlineLevel="0" collapsed="false">
      <c r="A5" s="17" t="s">
        <v>353</v>
      </c>
      <c r="B5" s="19" t="s">
        <v>354</v>
      </c>
      <c r="C5" s="19" t="s">
        <v>77</v>
      </c>
      <c r="D5" s="18" t="s">
        <v>355</v>
      </c>
      <c r="E5" s="18" t="s">
        <v>356</v>
      </c>
      <c r="F5" s="19" t="s">
        <v>357</v>
      </c>
      <c r="G5" s="19" t="s">
        <v>358</v>
      </c>
      <c r="H5" s="19" t="s">
        <v>359</v>
      </c>
      <c r="I5" s="16" t="s">
        <v>35</v>
      </c>
    </row>
    <row r="6" customFormat="false" ht="19.5" hidden="false" customHeight="true" outlineLevel="0" collapsed="false">
      <c r="A6" s="11" t="s">
        <v>360</v>
      </c>
      <c r="B6" s="13" t="s">
        <v>354</v>
      </c>
      <c r="C6" s="13" t="s">
        <v>81</v>
      </c>
      <c r="D6" s="12" t="s">
        <v>361</v>
      </c>
      <c r="E6" s="12" t="s">
        <v>362</v>
      </c>
      <c r="F6" s="13" t="s">
        <v>357</v>
      </c>
      <c r="G6" s="13" t="s">
        <v>363</v>
      </c>
      <c r="H6" s="13" t="s">
        <v>364</v>
      </c>
      <c r="I6" s="23" t="s">
        <v>365</v>
      </c>
    </row>
    <row r="7" customFormat="false" ht="19.5" hidden="false" customHeight="true" outlineLevel="0" collapsed="false">
      <c r="A7" s="17" t="s">
        <v>366</v>
      </c>
      <c r="B7" s="19" t="s">
        <v>354</v>
      </c>
      <c r="C7" s="19" t="s">
        <v>84</v>
      </c>
      <c r="D7" s="18" t="s">
        <v>367</v>
      </c>
      <c r="E7" s="18" t="s">
        <v>368</v>
      </c>
      <c r="F7" s="19" t="s">
        <v>357</v>
      </c>
      <c r="G7" s="19" t="s">
        <v>369</v>
      </c>
      <c r="H7" s="19" t="s">
        <v>364</v>
      </c>
      <c r="I7" s="23" t="s">
        <v>370</v>
      </c>
    </row>
    <row r="8" customFormat="false" ht="19.5" hidden="false" customHeight="true" outlineLevel="0" collapsed="false">
      <c r="A8" s="11" t="s">
        <v>371</v>
      </c>
      <c r="B8" s="13" t="s">
        <v>354</v>
      </c>
      <c r="C8" s="13" t="s">
        <v>84</v>
      </c>
      <c r="D8" s="12" t="s">
        <v>372</v>
      </c>
      <c r="E8" s="12" t="s">
        <v>373</v>
      </c>
      <c r="F8" s="13" t="s">
        <v>357</v>
      </c>
      <c r="G8" s="13" t="s">
        <v>363</v>
      </c>
      <c r="H8" s="13" t="s">
        <v>364</v>
      </c>
      <c r="I8" s="23" t="s">
        <v>374</v>
      </c>
    </row>
    <row r="9" customFormat="false" ht="19.5" hidden="false" customHeight="true" outlineLevel="0" collapsed="false">
      <c r="A9" s="17" t="s">
        <v>375</v>
      </c>
      <c r="B9" s="19" t="s">
        <v>354</v>
      </c>
      <c r="C9" s="19" t="s">
        <v>87</v>
      </c>
      <c r="D9" s="18" t="s">
        <v>376</v>
      </c>
      <c r="E9" s="18" t="s">
        <v>377</v>
      </c>
      <c r="F9" s="19" t="s">
        <v>378</v>
      </c>
      <c r="G9" s="19" t="s">
        <v>363</v>
      </c>
      <c r="H9" s="19" t="s">
        <v>364</v>
      </c>
      <c r="I9" s="23" t="s">
        <v>379</v>
      </c>
    </row>
    <row r="10" customFormat="false" ht="19.5" hidden="false" customHeight="true" outlineLevel="0" collapsed="false">
      <c r="A10" s="11" t="s">
        <v>380</v>
      </c>
      <c r="B10" s="13" t="s">
        <v>354</v>
      </c>
      <c r="C10" s="13" t="s">
        <v>91</v>
      </c>
      <c r="D10" s="12" t="s">
        <v>381</v>
      </c>
      <c r="E10" s="12" t="s">
        <v>382</v>
      </c>
      <c r="F10" s="13" t="s">
        <v>378</v>
      </c>
      <c r="G10" s="13" t="s">
        <v>363</v>
      </c>
      <c r="H10" s="13" t="s">
        <v>364</v>
      </c>
      <c r="I10" s="23" t="s">
        <v>383</v>
      </c>
    </row>
    <row r="11" customFormat="false" ht="19.5" hidden="false" customHeight="true" outlineLevel="0" collapsed="false">
      <c r="A11" s="17" t="s">
        <v>384</v>
      </c>
      <c r="B11" s="19" t="s">
        <v>354</v>
      </c>
      <c r="C11" s="19" t="s">
        <v>94</v>
      </c>
      <c r="D11" s="18" t="s">
        <v>385</v>
      </c>
      <c r="E11" s="18" t="s">
        <v>386</v>
      </c>
      <c r="F11" s="19" t="s">
        <v>387</v>
      </c>
      <c r="G11" s="19" t="s">
        <v>363</v>
      </c>
      <c r="H11" s="19" t="s">
        <v>364</v>
      </c>
      <c r="I11" s="23" t="s">
        <v>388</v>
      </c>
    </row>
    <row r="12" customFormat="false" ht="19.5" hidden="false" customHeight="true" outlineLevel="0" collapsed="false">
      <c r="A12" s="11" t="s">
        <v>389</v>
      </c>
      <c r="B12" s="13" t="s">
        <v>354</v>
      </c>
      <c r="C12" s="13" t="s">
        <v>97</v>
      </c>
      <c r="D12" s="12" t="s">
        <v>390</v>
      </c>
      <c r="E12" s="12" t="s">
        <v>391</v>
      </c>
      <c r="F12" s="13" t="s">
        <v>387</v>
      </c>
      <c r="G12" s="13" t="s">
        <v>392</v>
      </c>
      <c r="H12" s="13" t="s">
        <v>364</v>
      </c>
      <c r="I12" s="23" t="s">
        <v>393</v>
      </c>
    </row>
    <row r="13" customFormat="false" ht="19.5" hidden="false" customHeight="true" outlineLevel="0" collapsed="false">
      <c r="A13" s="17" t="s">
        <v>394</v>
      </c>
      <c r="B13" s="19" t="s">
        <v>354</v>
      </c>
      <c r="C13" s="19" t="s">
        <v>106</v>
      </c>
      <c r="D13" s="18" t="s">
        <v>395</v>
      </c>
      <c r="E13" s="18" t="s">
        <v>396</v>
      </c>
      <c r="F13" s="19" t="s">
        <v>387</v>
      </c>
      <c r="G13" s="19" t="s">
        <v>397</v>
      </c>
      <c r="H13" s="19" t="s">
        <v>364</v>
      </c>
      <c r="I13" s="23" t="s">
        <v>398</v>
      </c>
    </row>
    <row r="14" customFormat="false" ht="19.5" hidden="false" customHeight="true" outlineLevel="0" collapsed="false">
      <c r="A14" s="11" t="s">
        <v>399</v>
      </c>
      <c r="B14" s="13" t="s">
        <v>400</v>
      </c>
      <c r="C14" s="13" t="s">
        <v>77</v>
      </c>
      <c r="D14" s="12" t="s">
        <v>401</v>
      </c>
      <c r="E14" s="12" t="s">
        <v>402</v>
      </c>
      <c r="F14" s="13" t="s">
        <v>403</v>
      </c>
      <c r="G14" s="13" t="s">
        <v>404</v>
      </c>
      <c r="H14" s="13" t="s">
        <v>405</v>
      </c>
      <c r="I14" s="16" t="s">
        <v>406</v>
      </c>
    </row>
    <row r="15" customFormat="false" ht="19.5" hidden="false" customHeight="true" outlineLevel="0" collapsed="false">
      <c r="A15" s="17" t="s">
        <v>407</v>
      </c>
      <c r="B15" s="19" t="s">
        <v>408</v>
      </c>
      <c r="C15" s="19" t="s">
        <v>77</v>
      </c>
      <c r="D15" s="18" t="s">
        <v>409</v>
      </c>
      <c r="E15" s="18" t="s">
        <v>410</v>
      </c>
      <c r="F15" s="19" t="s">
        <v>411</v>
      </c>
      <c r="G15" s="19" t="s">
        <v>404</v>
      </c>
      <c r="H15" s="19" t="s">
        <v>412</v>
      </c>
      <c r="I15" s="16" t="s">
        <v>406</v>
      </c>
    </row>
    <row r="16" customFormat="false" ht="19.5" hidden="false" customHeight="true" outlineLevel="0" collapsed="false">
      <c r="A16" s="11" t="s">
        <v>413</v>
      </c>
      <c r="B16" s="13" t="s">
        <v>408</v>
      </c>
      <c r="C16" s="13" t="s">
        <v>77</v>
      </c>
      <c r="D16" s="12" t="s">
        <v>414</v>
      </c>
      <c r="E16" s="12" t="s">
        <v>415</v>
      </c>
      <c r="F16" s="13" t="s">
        <v>416</v>
      </c>
      <c r="G16" s="13" t="s">
        <v>404</v>
      </c>
      <c r="H16" s="13" t="s">
        <v>412</v>
      </c>
      <c r="I16" s="16" t="s">
        <v>406</v>
      </c>
    </row>
    <row r="17" customFormat="false" ht="19.5" hidden="false" customHeight="true" outlineLevel="0" collapsed="false">
      <c r="A17" s="17" t="s">
        <v>417</v>
      </c>
      <c r="B17" s="19" t="s">
        <v>408</v>
      </c>
      <c r="C17" s="19" t="s">
        <v>84</v>
      </c>
      <c r="D17" s="18" t="s">
        <v>418</v>
      </c>
      <c r="E17" s="18" t="s">
        <v>419</v>
      </c>
      <c r="F17" s="19" t="s">
        <v>420</v>
      </c>
      <c r="G17" s="19" t="s">
        <v>404</v>
      </c>
      <c r="H17" s="19" t="s">
        <v>412</v>
      </c>
      <c r="I17" s="22" t="s">
        <v>421</v>
      </c>
    </row>
    <row r="18" customFormat="false" ht="19.5" hidden="false" customHeight="true" outlineLevel="0" collapsed="false">
      <c r="A18" s="11" t="s">
        <v>422</v>
      </c>
      <c r="B18" s="13" t="s">
        <v>408</v>
      </c>
      <c r="C18" s="13" t="s">
        <v>62</v>
      </c>
      <c r="D18" s="12" t="s">
        <v>423</v>
      </c>
      <c r="E18" s="12" t="s">
        <v>424</v>
      </c>
      <c r="F18" s="13" t="s">
        <v>425</v>
      </c>
      <c r="G18" s="13" t="s">
        <v>404</v>
      </c>
      <c r="H18" s="13" t="s">
        <v>426</v>
      </c>
      <c r="I18" s="22" t="s">
        <v>427</v>
      </c>
    </row>
    <row r="19" customFormat="false" ht="19.5" hidden="false" customHeight="true" outlineLevel="0" collapsed="false">
      <c r="A19" s="17" t="s">
        <v>428</v>
      </c>
      <c r="B19" s="19" t="s">
        <v>408</v>
      </c>
      <c r="C19" s="19" t="s">
        <v>110</v>
      </c>
      <c r="D19" s="18" t="s">
        <v>429</v>
      </c>
      <c r="E19" s="18" t="s">
        <v>430</v>
      </c>
      <c r="F19" s="19" t="s">
        <v>431</v>
      </c>
      <c r="G19" s="19" t="s">
        <v>432</v>
      </c>
      <c r="H19" s="19" t="s">
        <v>433</v>
      </c>
      <c r="I19" s="23" t="s">
        <v>434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5" min="4" style="0" width="3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9" min="9" style="0" width="19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435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436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9" t="s">
        <v>437</v>
      </c>
      <c r="B4" s="9" t="s">
        <v>438</v>
      </c>
      <c r="C4" s="9" t="s">
        <v>439</v>
      </c>
      <c r="D4" s="10" t="s">
        <v>440</v>
      </c>
      <c r="E4" s="10" t="s">
        <v>441</v>
      </c>
      <c r="F4" s="9" t="s">
        <v>442</v>
      </c>
      <c r="G4" s="9" t="s">
        <v>443</v>
      </c>
      <c r="H4" s="10" t="s">
        <v>444</v>
      </c>
      <c r="I4" s="9" t="s">
        <v>445</v>
      </c>
      <c r="J4" s="9" t="s">
        <v>352</v>
      </c>
    </row>
    <row r="5" customFormat="false" ht="19.5" hidden="false" customHeight="true" outlineLevel="0" collapsed="false">
      <c r="A5" s="17" t="s">
        <v>446</v>
      </c>
      <c r="B5" s="19" t="s">
        <v>447</v>
      </c>
      <c r="C5" s="19" t="s">
        <v>448</v>
      </c>
      <c r="D5" s="18" t="s">
        <v>449</v>
      </c>
      <c r="E5" s="18" t="s">
        <v>450</v>
      </c>
      <c r="F5" s="19" t="s">
        <v>451</v>
      </c>
      <c r="G5" s="19" t="s">
        <v>452</v>
      </c>
      <c r="H5" s="18" t="s">
        <v>453</v>
      </c>
      <c r="I5" s="22" t="s">
        <v>454</v>
      </c>
      <c r="J5" s="22" t="s">
        <v>455</v>
      </c>
    </row>
    <row r="6" customFormat="false" ht="19.5" hidden="false" customHeight="true" outlineLevel="0" collapsed="false">
      <c r="A6" s="11" t="s">
        <v>456</v>
      </c>
      <c r="B6" s="13" t="s">
        <v>457</v>
      </c>
      <c r="C6" s="13" t="s">
        <v>458</v>
      </c>
      <c r="D6" s="12" t="s">
        <v>459</v>
      </c>
      <c r="E6" s="12" t="s">
        <v>460</v>
      </c>
      <c r="F6" s="13" t="s">
        <v>461</v>
      </c>
      <c r="G6" s="13" t="s">
        <v>452</v>
      </c>
      <c r="H6" s="12" t="s">
        <v>462</v>
      </c>
      <c r="I6" s="33" t="s">
        <v>463</v>
      </c>
      <c r="J6" s="22" t="s">
        <v>464</v>
      </c>
    </row>
    <row r="7" customFormat="false" ht="19.5" hidden="false" customHeight="true" outlineLevel="0" collapsed="false">
      <c r="A7" s="17" t="s">
        <v>465</v>
      </c>
      <c r="B7" s="19" t="s">
        <v>466</v>
      </c>
      <c r="C7" s="19" t="s">
        <v>467</v>
      </c>
      <c r="D7" s="18" t="s">
        <v>468</v>
      </c>
      <c r="E7" s="18" t="s">
        <v>469</v>
      </c>
      <c r="F7" s="19" t="s">
        <v>470</v>
      </c>
      <c r="G7" s="19" t="s">
        <v>471</v>
      </c>
      <c r="H7" s="18" t="s">
        <v>472</v>
      </c>
      <c r="I7" s="22" t="s">
        <v>473</v>
      </c>
      <c r="J7" s="22" t="s">
        <v>464</v>
      </c>
    </row>
    <row r="8" customFormat="false" ht="19.5" hidden="false" customHeight="true" outlineLevel="0" collapsed="false">
      <c r="A8" s="11" t="s">
        <v>474</v>
      </c>
      <c r="B8" s="13" t="s">
        <v>475</v>
      </c>
      <c r="C8" s="13" t="s">
        <v>476</v>
      </c>
      <c r="D8" s="12" t="s">
        <v>477</v>
      </c>
      <c r="E8" s="12" t="s">
        <v>478</v>
      </c>
      <c r="F8" s="13" t="s">
        <v>479</v>
      </c>
      <c r="G8" s="13" t="s">
        <v>480</v>
      </c>
      <c r="H8" s="12" t="s">
        <v>481</v>
      </c>
      <c r="I8" s="22" t="s">
        <v>482</v>
      </c>
      <c r="J8" s="22" t="s">
        <v>464</v>
      </c>
    </row>
    <row r="9" customFormat="false" ht="19.5" hidden="false" customHeight="true" outlineLevel="0" collapsed="false">
      <c r="A9" s="17" t="s">
        <v>483</v>
      </c>
      <c r="B9" s="19" t="s">
        <v>484</v>
      </c>
      <c r="C9" s="19" t="s">
        <v>485</v>
      </c>
      <c r="D9" s="18" t="s">
        <v>486</v>
      </c>
      <c r="E9" s="18" t="s">
        <v>487</v>
      </c>
      <c r="F9" s="19" t="s">
        <v>488</v>
      </c>
      <c r="G9" s="19" t="s">
        <v>489</v>
      </c>
      <c r="H9" s="18" t="s">
        <v>490</v>
      </c>
      <c r="I9" s="22" t="s">
        <v>491</v>
      </c>
      <c r="J9" s="22" t="s">
        <v>464</v>
      </c>
    </row>
    <row r="10" customFormat="false" ht="19.5" hidden="false" customHeight="true" outlineLevel="0" collapsed="false">
      <c r="A10" s="11" t="s">
        <v>492</v>
      </c>
      <c r="B10" s="13" t="s">
        <v>493</v>
      </c>
      <c r="C10" s="13" t="s">
        <v>494</v>
      </c>
      <c r="D10" s="12" t="s">
        <v>495</v>
      </c>
      <c r="E10" s="12" t="s">
        <v>496</v>
      </c>
      <c r="F10" s="13" t="s">
        <v>497</v>
      </c>
      <c r="G10" s="13" t="s">
        <v>498</v>
      </c>
      <c r="H10" s="12" t="s">
        <v>499</v>
      </c>
      <c r="I10" s="22" t="s">
        <v>491</v>
      </c>
      <c r="J10" s="22" t="s">
        <v>464</v>
      </c>
    </row>
    <row r="11" customFormat="false" ht="19.5" hidden="false" customHeight="true" outlineLevel="0" collapsed="false">
      <c r="A11" s="17" t="s">
        <v>500</v>
      </c>
      <c r="B11" s="19" t="s">
        <v>501</v>
      </c>
      <c r="C11" s="19" t="s">
        <v>502</v>
      </c>
      <c r="D11" s="18" t="s">
        <v>503</v>
      </c>
      <c r="E11" s="18" t="s">
        <v>504</v>
      </c>
      <c r="F11" s="19" t="s">
        <v>505</v>
      </c>
      <c r="G11" s="19" t="s">
        <v>498</v>
      </c>
      <c r="H11" s="18" t="s">
        <v>506</v>
      </c>
      <c r="I11" s="22" t="s">
        <v>491</v>
      </c>
      <c r="J11" s="22" t="s">
        <v>464</v>
      </c>
    </row>
    <row r="12" customFormat="false" ht="19.5" hidden="false" customHeight="true" outlineLevel="0" collapsed="false">
      <c r="A12" s="11" t="s">
        <v>507</v>
      </c>
      <c r="B12" s="13" t="s">
        <v>508</v>
      </c>
      <c r="C12" s="13" t="s">
        <v>509</v>
      </c>
      <c r="D12" s="12" t="s">
        <v>510</v>
      </c>
      <c r="E12" s="12" t="s">
        <v>511</v>
      </c>
      <c r="F12" s="13" t="s">
        <v>512</v>
      </c>
      <c r="G12" s="13" t="s">
        <v>513</v>
      </c>
      <c r="H12" s="12" t="s">
        <v>514</v>
      </c>
      <c r="I12" s="22" t="s">
        <v>515</v>
      </c>
      <c r="J12" s="22" t="s">
        <v>464</v>
      </c>
    </row>
    <row r="13" customFormat="false" ht="19.5" hidden="false" customHeight="true" outlineLevel="0" collapsed="false">
      <c r="A13" s="17" t="s">
        <v>516</v>
      </c>
      <c r="B13" s="19" t="s">
        <v>517</v>
      </c>
      <c r="C13" s="19" t="s">
        <v>518</v>
      </c>
      <c r="D13" s="18" t="s">
        <v>519</v>
      </c>
      <c r="E13" s="18" t="s">
        <v>520</v>
      </c>
      <c r="F13" s="19" t="s">
        <v>521</v>
      </c>
      <c r="G13" s="19" t="s">
        <v>452</v>
      </c>
      <c r="H13" s="18" t="s">
        <v>522</v>
      </c>
      <c r="I13" s="33" t="s">
        <v>463</v>
      </c>
      <c r="J13" s="22" t="s">
        <v>464</v>
      </c>
    </row>
    <row r="14" customFormat="false" ht="19.5" hidden="false" customHeight="true" outlineLevel="0" collapsed="false">
      <c r="A14" s="11" t="s">
        <v>523</v>
      </c>
      <c r="B14" s="13" t="s">
        <v>524</v>
      </c>
      <c r="C14" s="13" t="s">
        <v>525</v>
      </c>
      <c r="D14" s="12" t="s">
        <v>526</v>
      </c>
      <c r="E14" s="12" t="s">
        <v>527</v>
      </c>
      <c r="F14" s="13" t="s">
        <v>528</v>
      </c>
      <c r="G14" s="13" t="s">
        <v>529</v>
      </c>
      <c r="H14" s="12" t="s">
        <v>530</v>
      </c>
      <c r="I14" s="33" t="s">
        <v>463</v>
      </c>
      <c r="J14" s="22" t="s">
        <v>464</v>
      </c>
    </row>
    <row r="15" customFormat="false" ht="19.5" hidden="false" customHeight="true" outlineLevel="0" collapsed="false">
      <c r="A15" s="17" t="s">
        <v>531</v>
      </c>
      <c r="B15" s="19" t="s">
        <v>532</v>
      </c>
      <c r="C15" s="19" t="s">
        <v>533</v>
      </c>
      <c r="D15" s="18" t="s">
        <v>534</v>
      </c>
      <c r="E15" s="18" t="s">
        <v>535</v>
      </c>
      <c r="F15" s="19" t="s">
        <v>536</v>
      </c>
      <c r="G15" s="19" t="s">
        <v>537</v>
      </c>
      <c r="H15" s="18" t="s">
        <v>538</v>
      </c>
      <c r="I15" s="22" t="s">
        <v>473</v>
      </c>
      <c r="J15" s="22" t="s">
        <v>464</v>
      </c>
    </row>
    <row r="16" customFormat="false" ht="19.5" hidden="false" customHeight="true" outlineLevel="0" collapsed="false">
      <c r="A16" s="11" t="s">
        <v>539</v>
      </c>
      <c r="B16" s="13" t="s">
        <v>540</v>
      </c>
      <c r="C16" s="13" t="s">
        <v>541</v>
      </c>
      <c r="D16" s="12" t="s">
        <v>542</v>
      </c>
      <c r="E16" s="12" t="s">
        <v>543</v>
      </c>
      <c r="F16" s="13" t="s">
        <v>544</v>
      </c>
      <c r="G16" s="13" t="s">
        <v>452</v>
      </c>
      <c r="H16" s="12" t="s">
        <v>545</v>
      </c>
      <c r="I16" s="22" t="s">
        <v>546</v>
      </c>
      <c r="J16" s="22" t="s">
        <v>464</v>
      </c>
    </row>
    <row r="17" customFormat="false" ht="19.5" hidden="false" customHeight="true" outlineLevel="0" collapsed="false">
      <c r="A17" s="17" t="s">
        <v>547</v>
      </c>
      <c r="B17" s="19" t="s">
        <v>548</v>
      </c>
      <c r="C17" s="19" t="s">
        <v>549</v>
      </c>
      <c r="D17" s="18" t="s">
        <v>550</v>
      </c>
      <c r="E17" s="18" t="s">
        <v>551</v>
      </c>
      <c r="F17" s="19" t="s">
        <v>552</v>
      </c>
      <c r="G17" s="19" t="s">
        <v>553</v>
      </c>
      <c r="H17" s="18" t="s">
        <v>554</v>
      </c>
      <c r="I17" s="22" t="s">
        <v>555</v>
      </c>
      <c r="J17" s="22" t="s">
        <v>464</v>
      </c>
    </row>
    <row r="18" customFormat="false" ht="19.5" hidden="false" customHeight="true" outlineLevel="0" collapsed="false">
      <c r="A18" s="11" t="s">
        <v>556</v>
      </c>
      <c r="B18" s="13" t="s">
        <v>557</v>
      </c>
      <c r="C18" s="13" t="s">
        <v>558</v>
      </c>
      <c r="D18" s="12" t="s">
        <v>559</v>
      </c>
      <c r="E18" s="12" t="s">
        <v>560</v>
      </c>
      <c r="F18" s="13" t="s">
        <v>521</v>
      </c>
      <c r="G18" s="13" t="s">
        <v>452</v>
      </c>
      <c r="H18" s="12" t="s">
        <v>561</v>
      </c>
      <c r="I18" s="33" t="s">
        <v>463</v>
      </c>
      <c r="J18" s="22" t="s">
        <v>464</v>
      </c>
    </row>
    <row r="19" customFormat="false" ht="19.5" hidden="false" customHeight="true" outlineLevel="0" collapsed="false">
      <c r="A19" s="17" t="s">
        <v>562</v>
      </c>
      <c r="B19" s="19" t="s">
        <v>563</v>
      </c>
      <c r="C19" s="19" t="s">
        <v>564</v>
      </c>
      <c r="D19" s="18" t="s">
        <v>565</v>
      </c>
      <c r="E19" s="18" t="s">
        <v>566</v>
      </c>
      <c r="F19" s="19" t="s">
        <v>567</v>
      </c>
      <c r="G19" s="19" t="s">
        <v>568</v>
      </c>
      <c r="H19" s="18" t="s">
        <v>569</v>
      </c>
      <c r="I19" s="22" t="s">
        <v>473</v>
      </c>
      <c r="J19" s="22" t="s">
        <v>464</v>
      </c>
    </row>
    <row r="20" customFormat="false" ht="19.5" hidden="false" customHeight="true" outlineLevel="0" collapsed="false">
      <c r="A20" s="11" t="s">
        <v>570</v>
      </c>
      <c r="B20" s="13" t="s">
        <v>571</v>
      </c>
      <c r="C20" s="13" t="s">
        <v>572</v>
      </c>
      <c r="D20" s="12" t="s">
        <v>573</v>
      </c>
      <c r="E20" s="12" t="s">
        <v>574</v>
      </c>
      <c r="F20" s="13" t="s">
        <v>521</v>
      </c>
      <c r="G20" s="13" t="s">
        <v>452</v>
      </c>
      <c r="H20" s="12" t="s">
        <v>575</v>
      </c>
      <c r="I20" s="33" t="s">
        <v>463</v>
      </c>
      <c r="J20" s="22" t="s">
        <v>464</v>
      </c>
    </row>
    <row r="21" customFormat="false" ht="19.5" hidden="false" customHeight="true" outlineLevel="0" collapsed="false">
      <c r="A21" s="17" t="s">
        <v>576</v>
      </c>
      <c r="B21" s="19" t="s">
        <v>577</v>
      </c>
      <c r="C21" s="19" t="s">
        <v>578</v>
      </c>
      <c r="D21" s="18" t="s">
        <v>579</v>
      </c>
      <c r="E21" s="18" t="s">
        <v>580</v>
      </c>
      <c r="F21" s="19" t="s">
        <v>581</v>
      </c>
      <c r="G21" s="19" t="s">
        <v>582</v>
      </c>
      <c r="H21" s="18" t="s">
        <v>583</v>
      </c>
      <c r="I21" s="33" t="s">
        <v>584</v>
      </c>
      <c r="J21" s="22" t="s">
        <v>464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3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9" min="8" style="0" width="38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585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586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9" t="s">
        <v>587</v>
      </c>
      <c r="B4" s="9" t="s">
        <v>588</v>
      </c>
      <c r="C4" s="10" t="s">
        <v>589</v>
      </c>
      <c r="D4" s="9" t="s">
        <v>590</v>
      </c>
      <c r="E4" s="10" t="s">
        <v>591</v>
      </c>
      <c r="F4" s="9" t="s">
        <v>592</v>
      </c>
      <c r="G4" s="9" t="s">
        <v>593</v>
      </c>
      <c r="H4" s="10" t="s">
        <v>594</v>
      </c>
      <c r="I4" s="9" t="s">
        <v>595</v>
      </c>
      <c r="J4" s="9" t="s">
        <v>596</v>
      </c>
    </row>
    <row r="5" customFormat="false" ht="19.5" hidden="false" customHeight="true" outlineLevel="0" collapsed="false">
      <c r="A5" s="17" t="s">
        <v>597</v>
      </c>
      <c r="B5" s="17" t="s">
        <v>598</v>
      </c>
      <c r="C5" s="18" t="s">
        <v>599</v>
      </c>
      <c r="D5" s="19" t="s">
        <v>600</v>
      </c>
      <c r="E5" s="18" t="s">
        <v>601</v>
      </c>
      <c r="F5" s="19" t="s">
        <v>602</v>
      </c>
      <c r="G5" s="19" t="s">
        <v>603</v>
      </c>
      <c r="H5" s="18" t="s">
        <v>604</v>
      </c>
      <c r="I5" s="19" t="s">
        <v>605</v>
      </c>
      <c r="J5" s="16" t="s">
        <v>35</v>
      </c>
    </row>
    <row r="6" customFormat="false" ht="19.5" hidden="false" customHeight="true" outlineLevel="0" collapsed="false">
      <c r="A6" s="11" t="s">
        <v>606</v>
      </c>
      <c r="B6" s="11" t="s">
        <v>607</v>
      </c>
      <c r="C6" s="12" t="s">
        <v>608</v>
      </c>
      <c r="D6" s="13" t="s">
        <v>609</v>
      </c>
      <c r="E6" s="12" t="s">
        <v>610</v>
      </c>
      <c r="F6" s="13" t="s">
        <v>611</v>
      </c>
      <c r="G6" s="13" t="s">
        <v>603</v>
      </c>
      <c r="H6" s="12" t="s">
        <v>612</v>
      </c>
      <c r="I6" s="13" t="s">
        <v>605</v>
      </c>
      <c r="J6" s="16" t="s">
        <v>35</v>
      </c>
    </row>
    <row r="7" customFormat="false" ht="19.5" hidden="false" customHeight="true" outlineLevel="0" collapsed="false">
      <c r="A7" s="17" t="s">
        <v>613</v>
      </c>
      <c r="B7" s="17" t="s">
        <v>614</v>
      </c>
      <c r="C7" s="18" t="s">
        <v>615</v>
      </c>
      <c r="D7" s="19" t="s">
        <v>616</v>
      </c>
      <c r="E7" s="18" t="s">
        <v>617</v>
      </c>
      <c r="F7" s="19" t="s">
        <v>618</v>
      </c>
      <c r="G7" s="19" t="s">
        <v>619</v>
      </c>
      <c r="H7" s="18" t="s">
        <v>620</v>
      </c>
      <c r="I7" s="19" t="s">
        <v>621</v>
      </c>
      <c r="J7" s="16" t="s">
        <v>35</v>
      </c>
    </row>
    <row r="8" customFormat="false" ht="19.5" hidden="false" customHeight="true" outlineLevel="0" collapsed="false">
      <c r="A8" s="11" t="s">
        <v>622</v>
      </c>
      <c r="B8" s="11" t="s">
        <v>623</v>
      </c>
      <c r="C8" s="12" t="s">
        <v>624</v>
      </c>
      <c r="D8" s="13" t="s">
        <v>625</v>
      </c>
      <c r="E8" s="12" t="s">
        <v>626</v>
      </c>
      <c r="F8" s="13" t="s">
        <v>627</v>
      </c>
      <c r="G8" s="13" t="s">
        <v>628</v>
      </c>
      <c r="H8" s="12" t="s">
        <v>629</v>
      </c>
      <c r="I8" s="13" t="s">
        <v>621</v>
      </c>
      <c r="J8" s="16" t="s">
        <v>35</v>
      </c>
    </row>
    <row r="9" customFormat="false" ht="19.5" hidden="false" customHeight="true" outlineLevel="0" collapsed="false">
      <c r="A9" s="17" t="s">
        <v>630</v>
      </c>
      <c r="B9" s="17" t="s">
        <v>631</v>
      </c>
      <c r="C9" s="18" t="s">
        <v>632</v>
      </c>
      <c r="D9" s="19" t="s">
        <v>633</v>
      </c>
      <c r="E9" s="18" t="s">
        <v>634</v>
      </c>
      <c r="F9" s="19" t="s">
        <v>635</v>
      </c>
      <c r="G9" s="19" t="s">
        <v>636</v>
      </c>
      <c r="H9" s="18" t="s">
        <v>637</v>
      </c>
      <c r="I9" s="19" t="s">
        <v>605</v>
      </c>
      <c r="J9" s="16" t="s">
        <v>35</v>
      </c>
    </row>
    <row r="10" customFormat="false" ht="19.5" hidden="false" customHeight="true" outlineLevel="0" collapsed="false">
      <c r="A10" s="11" t="s">
        <v>638</v>
      </c>
      <c r="B10" s="11" t="s">
        <v>639</v>
      </c>
      <c r="C10" s="12" t="s">
        <v>640</v>
      </c>
      <c r="D10" s="13" t="s">
        <v>633</v>
      </c>
      <c r="E10" s="12" t="s">
        <v>641</v>
      </c>
      <c r="F10" s="13" t="s">
        <v>635</v>
      </c>
      <c r="G10" s="13" t="s">
        <v>642</v>
      </c>
      <c r="H10" s="12" t="s">
        <v>637</v>
      </c>
      <c r="I10" s="13" t="s">
        <v>605</v>
      </c>
      <c r="J10" s="16" t="s">
        <v>35</v>
      </c>
    </row>
    <row r="11" customFormat="false" ht="19.5" hidden="false" customHeight="true" outlineLevel="0" collapsed="false">
      <c r="A11" s="17" t="s">
        <v>643</v>
      </c>
      <c r="B11" s="17" t="s">
        <v>644</v>
      </c>
      <c r="C11" s="18" t="s">
        <v>645</v>
      </c>
      <c r="D11" s="19" t="s">
        <v>646</v>
      </c>
      <c r="E11" s="18" t="s">
        <v>647</v>
      </c>
      <c r="F11" s="19" t="s">
        <v>648</v>
      </c>
      <c r="G11" s="19" t="s">
        <v>649</v>
      </c>
      <c r="H11" s="18" t="s">
        <v>650</v>
      </c>
      <c r="I11" s="19" t="s">
        <v>605</v>
      </c>
      <c r="J11" s="16" t="s">
        <v>35</v>
      </c>
    </row>
    <row r="12" customFormat="false" ht="19.5" hidden="false" customHeight="true" outlineLevel="0" collapsed="false">
      <c r="A12" s="11" t="s">
        <v>651</v>
      </c>
      <c r="B12" s="11" t="s">
        <v>652</v>
      </c>
      <c r="C12" s="12" t="s">
        <v>653</v>
      </c>
      <c r="D12" s="13" t="s">
        <v>654</v>
      </c>
      <c r="E12" s="12" t="s">
        <v>655</v>
      </c>
      <c r="F12" s="13" t="s">
        <v>656</v>
      </c>
      <c r="G12" s="13" t="s">
        <v>657</v>
      </c>
      <c r="H12" s="12" t="s">
        <v>658</v>
      </c>
      <c r="I12" s="13" t="s">
        <v>659</v>
      </c>
      <c r="J12" s="16" t="s">
        <v>35</v>
      </c>
    </row>
    <row r="13" customFormat="false" ht="19.5" hidden="false" customHeight="true" outlineLevel="0" collapsed="false">
      <c r="A13" s="17" t="s">
        <v>660</v>
      </c>
      <c r="B13" s="17" t="s">
        <v>661</v>
      </c>
      <c r="C13" s="18" t="s">
        <v>662</v>
      </c>
      <c r="D13" s="19" t="s">
        <v>663</v>
      </c>
      <c r="E13" s="18" t="s">
        <v>664</v>
      </c>
      <c r="F13" s="19" t="s">
        <v>665</v>
      </c>
      <c r="G13" s="19" t="s">
        <v>666</v>
      </c>
      <c r="H13" s="18" t="s">
        <v>667</v>
      </c>
      <c r="I13" s="19" t="s">
        <v>605</v>
      </c>
      <c r="J13" s="16" t="s">
        <v>35</v>
      </c>
    </row>
    <row r="14" customFormat="false" ht="19.5" hidden="false" customHeight="true" outlineLevel="0" collapsed="false">
      <c r="A14" s="11" t="s">
        <v>668</v>
      </c>
      <c r="B14" s="11" t="s">
        <v>669</v>
      </c>
      <c r="C14" s="12" t="s">
        <v>670</v>
      </c>
      <c r="D14" s="13" t="s">
        <v>671</v>
      </c>
      <c r="E14" s="12" t="s">
        <v>672</v>
      </c>
      <c r="F14" s="13" t="s">
        <v>627</v>
      </c>
      <c r="G14" s="13" t="s">
        <v>673</v>
      </c>
      <c r="H14" s="12" t="s">
        <v>674</v>
      </c>
      <c r="I14" s="13" t="s">
        <v>605</v>
      </c>
      <c r="J14" s="16" t="s">
        <v>35</v>
      </c>
    </row>
    <row r="18" customFormat="false" ht="24" hidden="false" customHeight="true" outlineLevel="0" collapsed="false">
      <c r="A18" s="9" t="s">
        <v>675</v>
      </c>
      <c r="B18" s="9" t="s">
        <v>676</v>
      </c>
      <c r="C18" s="9" t="s">
        <v>677</v>
      </c>
      <c r="D18" s="9" t="s">
        <v>678</v>
      </c>
      <c r="E18" s="9" t="s">
        <v>679</v>
      </c>
      <c r="F18" s="9" t="s">
        <v>680</v>
      </c>
      <c r="G18" s="9" t="s">
        <v>681</v>
      </c>
      <c r="H18" s="9" t="s">
        <v>682</v>
      </c>
      <c r="I18" s="10" t="s">
        <v>683</v>
      </c>
      <c r="J18" s="9" t="s">
        <v>29</v>
      </c>
    </row>
    <row r="19" customFormat="false" ht="19.5" hidden="false" customHeight="true" outlineLevel="0" collapsed="false">
      <c r="A19" s="17" t="s">
        <v>684</v>
      </c>
      <c r="B19" s="19" t="s">
        <v>685</v>
      </c>
      <c r="C19" s="19" t="s">
        <v>686</v>
      </c>
      <c r="D19" s="19" t="s">
        <v>687</v>
      </c>
      <c r="E19" s="19" t="s">
        <v>688</v>
      </c>
      <c r="F19" s="19" t="s">
        <v>689</v>
      </c>
      <c r="G19" s="19" t="s">
        <v>690</v>
      </c>
      <c r="H19" s="19" t="s">
        <v>691</v>
      </c>
      <c r="I19" s="18" t="s">
        <v>692</v>
      </c>
      <c r="J19" s="16" t="s">
        <v>693</v>
      </c>
    </row>
    <row r="20" customFormat="false" ht="19.5" hidden="false" customHeight="true" outlineLevel="0" collapsed="false">
      <c r="A20" s="17" t="s">
        <v>694</v>
      </c>
      <c r="B20" s="19" t="s">
        <v>695</v>
      </c>
      <c r="C20" s="19" t="s">
        <v>686</v>
      </c>
      <c r="D20" s="19" t="s">
        <v>696</v>
      </c>
      <c r="E20" s="19" t="s">
        <v>697</v>
      </c>
      <c r="F20" s="19" t="s">
        <v>689</v>
      </c>
      <c r="G20" s="19" t="s">
        <v>698</v>
      </c>
      <c r="H20" s="19" t="s">
        <v>691</v>
      </c>
      <c r="I20" s="18" t="s">
        <v>699</v>
      </c>
      <c r="J20" s="16" t="s">
        <v>693</v>
      </c>
    </row>
    <row r="21" customFormat="false" ht="19.5" hidden="false" customHeight="true" outlineLevel="0" collapsed="false">
      <c r="A21" s="17" t="s">
        <v>700</v>
      </c>
      <c r="B21" s="19" t="s">
        <v>701</v>
      </c>
      <c r="C21" s="19" t="s">
        <v>702</v>
      </c>
      <c r="D21" s="19" t="s">
        <v>687</v>
      </c>
      <c r="E21" s="19" t="s">
        <v>703</v>
      </c>
      <c r="F21" s="19" t="s">
        <v>689</v>
      </c>
      <c r="G21" s="19" t="s">
        <v>698</v>
      </c>
      <c r="H21" s="19" t="s">
        <v>691</v>
      </c>
      <c r="I21" s="18" t="s">
        <v>704</v>
      </c>
      <c r="J21" s="16" t="s">
        <v>693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2026-10-16T06:53:56Z</dcterms:created>
  <dc:creator>openpyxl</dc:creator>
  <dc:description/>
  <dc:language>en-US</dc:language>
  <cp:lastModifiedBy/>
  <dcterms:modified xsi:type="dcterms:W3CDTF">2026-10-16T06:53:57Z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